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C:\Users\bunker\Downloads\"/>
    </mc:Choice>
  </mc:AlternateContent>
  <xr:revisionPtr revIDLastSave="0" documentId="8_{3AA4F369-95AA-42C0-A8E1-3B7F9621AB8E}" xr6:coauthVersionLast="47" xr6:coauthVersionMax="47" xr10:uidLastSave="{00000000-0000-0000-0000-000000000000}"/>
  <bookViews>
    <workbookView xWindow="-120" yWindow="-120" windowWidth="20730" windowHeight="11160" firstSheet="2" activeTab="4" xr2:uid="{424F8F86-F642-4940-804F-F439093248B3}"/>
  </bookViews>
  <sheets>
    <sheet name="INVENTARIO PROCU" sheetId="4" state="hidden" r:id="rId1"/>
    <sheet name="INVENTARIO R1" sheetId="16" state="hidden" r:id="rId2"/>
    <sheet name="BASE DE DATOS" sheetId="14" r:id="rId3"/>
    <sheet name="CONTRATO" sheetId="5" r:id="rId4"/>
    <sheet name="BUSCADOR" sheetId="10" r:id="rId5"/>
  </sheets>
  <definedNames>
    <definedName name="_xlnm.Print_Area" localSheetId="3">CONTRATO!$A$1:$F$34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5" i="4" l="1"/>
  <c r="H25" i="4"/>
  <c r="I25" i="4" s="1"/>
  <c r="O25" i="4"/>
  <c r="F26" i="4"/>
  <c r="H26" i="4"/>
  <c r="I26" i="4" s="1"/>
  <c r="O26" i="4"/>
  <c r="F27" i="4"/>
  <c r="H27" i="4"/>
  <c r="I27" i="4" s="1"/>
  <c r="O27" i="4"/>
  <c r="F28" i="4"/>
  <c r="H28" i="4"/>
  <c r="I28" i="4" s="1"/>
  <c r="K28" i="4" s="1"/>
  <c r="O28" i="4"/>
  <c r="F29" i="4"/>
  <c r="H29" i="4"/>
  <c r="I29" i="4" s="1"/>
  <c r="O29" i="4"/>
  <c r="F30" i="4"/>
  <c r="H30" i="4"/>
  <c r="I30" i="4" s="1"/>
  <c r="O30" i="4"/>
  <c r="F31" i="4"/>
  <c r="H31" i="4"/>
  <c r="I31" i="4" s="1"/>
  <c r="O31" i="4"/>
  <c r="F32" i="4"/>
  <c r="H32" i="4"/>
  <c r="I32" i="4"/>
  <c r="K32" i="4" s="1"/>
  <c r="O32" i="4"/>
  <c r="F33" i="4"/>
  <c r="H33" i="4"/>
  <c r="I33" i="4"/>
  <c r="O33" i="4"/>
  <c r="F34" i="4"/>
  <c r="H34" i="4"/>
  <c r="I34" i="4" s="1"/>
  <c r="O34" i="4"/>
  <c r="K29" i="4" l="1"/>
  <c r="K25" i="4"/>
  <c r="K33" i="4"/>
  <c r="K26" i="4"/>
  <c r="M26" i="4" s="1"/>
  <c r="K30" i="4"/>
  <c r="M30" i="4" s="1"/>
  <c r="K27" i="4"/>
  <c r="M27" i="4" s="1"/>
  <c r="K34" i="4"/>
  <c r="M34" i="4" s="1"/>
  <c r="N32" i="4"/>
  <c r="K31" i="4"/>
  <c r="M32" i="4"/>
  <c r="M28" i="4"/>
  <c r="N28" i="4" s="1"/>
  <c r="O2" i="4"/>
  <c r="O3" i="4"/>
  <c r="O4" i="4"/>
  <c r="O5" i="4"/>
  <c r="O6" i="4"/>
  <c r="O7" i="4"/>
  <c r="O8" i="4"/>
  <c r="O9" i="4"/>
  <c r="O10" i="4"/>
  <c r="O11" i="4"/>
  <c r="O12" i="4"/>
  <c r="O13" i="4"/>
  <c r="O14" i="4"/>
  <c r="O15" i="4"/>
  <c r="O16" i="4"/>
  <c r="O17" i="4"/>
  <c r="O18" i="4"/>
  <c r="O19" i="4"/>
  <c r="O20" i="4"/>
  <c r="O21" i="4"/>
  <c r="O22" i="4"/>
  <c r="O23" i="4"/>
  <c r="O24" i="4"/>
  <c r="O24" i="16"/>
  <c r="H24" i="16"/>
  <c r="I24" i="16" s="1"/>
  <c r="F24" i="16"/>
  <c r="O23" i="16"/>
  <c r="H23" i="16"/>
  <c r="I23" i="16" s="1"/>
  <c r="F23" i="16"/>
  <c r="O22" i="16"/>
  <c r="I22" i="16"/>
  <c r="H22" i="16"/>
  <c r="F22" i="16"/>
  <c r="O21" i="16"/>
  <c r="K21" i="16"/>
  <c r="I21" i="16"/>
  <c r="M21" i="16" s="1"/>
  <c r="H21" i="16"/>
  <c r="F21" i="16"/>
  <c r="O20" i="16"/>
  <c r="H20" i="16"/>
  <c r="I20" i="16" s="1"/>
  <c r="F20" i="16"/>
  <c r="O19" i="16"/>
  <c r="H19" i="16"/>
  <c r="I19" i="16" s="1"/>
  <c r="F19" i="16"/>
  <c r="O18" i="16"/>
  <c r="I18" i="16"/>
  <c r="H18" i="16"/>
  <c r="F18" i="16"/>
  <c r="O17" i="16"/>
  <c r="K17" i="16"/>
  <c r="I17" i="16"/>
  <c r="M17" i="16" s="1"/>
  <c r="H17" i="16"/>
  <c r="F17" i="16"/>
  <c r="O16" i="16"/>
  <c r="H16" i="16"/>
  <c r="I16" i="16" s="1"/>
  <c r="F16" i="16"/>
  <c r="O15" i="16"/>
  <c r="I15" i="16"/>
  <c r="H15" i="16"/>
  <c r="F15" i="16"/>
  <c r="O14" i="16"/>
  <c r="K14" i="16"/>
  <c r="I14" i="16"/>
  <c r="M14" i="16" s="1"/>
  <c r="H14" i="16"/>
  <c r="F14" i="16"/>
  <c r="O13" i="16"/>
  <c r="M13" i="16"/>
  <c r="K13" i="16"/>
  <c r="N13" i="16" s="1"/>
  <c r="I13" i="16"/>
  <c r="H13" i="16"/>
  <c r="F13" i="16"/>
  <c r="O12" i="16"/>
  <c r="H12" i="16"/>
  <c r="I12" i="16" s="1"/>
  <c r="F12" i="16"/>
  <c r="O11" i="16"/>
  <c r="I11" i="16"/>
  <c r="H11" i="16"/>
  <c r="F11" i="16"/>
  <c r="O10" i="16"/>
  <c r="K10" i="16"/>
  <c r="I10" i="16"/>
  <c r="M10" i="16" s="1"/>
  <c r="H10" i="16"/>
  <c r="F10" i="16"/>
  <c r="O9" i="16"/>
  <c r="M9" i="16"/>
  <c r="K9" i="16"/>
  <c r="N9" i="16" s="1"/>
  <c r="I9" i="16"/>
  <c r="H9" i="16"/>
  <c r="F9" i="16"/>
  <c r="O8" i="16"/>
  <c r="H8" i="16"/>
  <c r="I8" i="16" s="1"/>
  <c r="F8" i="16"/>
  <c r="O7" i="16"/>
  <c r="I7" i="16"/>
  <c r="H7" i="16"/>
  <c r="F7" i="16"/>
  <c r="O6" i="16"/>
  <c r="K6" i="16"/>
  <c r="I6" i="16"/>
  <c r="M6" i="16" s="1"/>
  <c r="H6" i="16"/>
  <c r="F6" i="16"/>
  <c r="O5" i="16"/>
  <c r="M5" i="16"/>
  <c r="K5" i="16"/>
  <c r="N5" i="16" s="1"/>
  <c r="I5" i="16"/>
  <c r="H5" i="16"/>
  <c r="F5" i="16"/>
  <c r="O4" i="16"/>
  <c r="H4" i="16"/>
  <c r="I4" i="16" s="1"/>
  <c r="F4" i="16"/>
  <c r="O3" i="16"/>
  <c r="I3" i="16"/>
  <c r="H3" i="16"/>
  <c r="F3" i="16"/>
  <c r="O2" i="16"/>
  <c r="K2" i="16"/>
  <c r="I2" i="16"/>
  <c r="M2" i="16" s="1"/>
  <c r="H2" i="16"/>
  <c r="F2" i="16"/>
  <c r="P32" i="4" l="1"/>
  <c r="Q32" i="4" s="1"/>
  <c r="R32" i="4"/>
  <c r="S32" i="4" s="1"/>
  <c r="M25" i="4"/>
  <c r="N25" i="4" s="1"/>
  <c r="P28" i="4"/>
  <c r="Q28" i="4"/>
  <c r="R28" i="4"/>
  <c r="S28" i="4" s="1"/>
  <c r="M33" i="4"/>
  <c r="N33" i="4" s="1"/>
  <c r="M29" i="4"/>
  <c r="N29" i="4" s="1"/>
  <c r="N26" i="4"/>
  <c r="N34" i="4"/>
  <c r="M31" i="4"/>
  <c r="N31" i="4" s="1"/>
  <c r="N27" i="4"/>
  <c r="N30" i="4"/>
  <c r="K24" i="16"/>
  <c r="P5" i="16"/>
  <c r="Q5" i="16"/>
  <c r="P13" i="16"/>
  <c r="Q13" i="16"/>
  <c r="K20" i="16"/>
  <c r="K23" i="16"/>
  <c r="K8" i="16"/>
  <c r="K19" i="16"/>
  <c r="N21" i="16"/>
  <c r="K4" i="16"/>
  <c r="K12" i="16"/>
  <c r="N2" i="16"/>
  <c r="N10" i="16"/>
  <c r="M11" i="16"/>
  <c r="K16" i="16"/>
  <c r="N6" i="16"/>
  <c r="M7" i="16"/>
  <c r="P9" i="16"/>
  <c r="Q9" i="16"/>
  <c r="N14" i="16"/>
  <c r="N17" i="16"/>
  <c r="M18" i="16"/>
  <c r="K18" i="16"/>
  <c r="K22" i="16"/>
  <c r="M22" i="16" s="1"/>
  <c r="K3" i="16"/>
  <c r="M3" i="16" s="1"/>
  <c r="K7" i="16"/>
  <c r="K11" i="16"/>
  <c r="K15" i="16"/>
  <c r="B3" i="5"/>
  <c r="R33" i="4" l="1"/>
  <c r="S33" i="4" s="1"/>
  <c r="P33" i="4"/>
  <c r="Q33" i="4"/>
  <c r="P25" i="4"/>
  <c r="Q25" i="4" s="1"/>
  <c r="R25" i="4"/>
  <c r="S25" i="4" s="1"/>
  <c r="P34" i="4"/>
  <c r="Q34" i="4"/>
  <c r="R34" i="4"/>
  <c r="S34" i="4" s="1"/>
  <c r="R26" i="4"/>
  <c r="S26" i="4" s="1"/>
  <c r="P26" i="4"/>
  <c r="Q26" i="4" s="1"/>
  <c r="P29" i="4"/>
  <c r="Q29" i="4" s="1"/>
  <c r="R29" i="4"/>
  <c r="S29" i="4" s="1"/>
  <c r="P31" i="4"/>
  <c r="R31" i="4"/>
  <c r="S31" i="4" s="1"/>
  <c r="Q31" i="4"/>
  <c r="R30" i="4"/>
  <c r="S30" i="4" s="1"/>
  <c r="P30" i="4"/>
  <c r="Q30" i="4" s="1"/>
  <c r="P27" i="4"/>
  <c r="Q27" i="4" s="1"/>
  <c r="R27" i="4"/>
  <c r="S27" i="4" s="1"/>
  <c r="N11" i="16"/>
  <c r="N18" i="16"/>
  <c r="P14" i="16"/>
  <c r="Q14" i="16" s="1"/>
  <c r="P6" i="16"/>
  <c r="Q6" i="16" s="1"/>
  <c r="P10" i="16"/>
  <c r="Q10" i="16" s="1"/>
  <c r="M12" i="16"/>
  <c r="N12" i="16" s="1"/>
  <c r="P21" i="16"/>
  <c r="Q21" i="16"/>
  <c r="M8" i="16"/>
  <c r="N8" i="16" s="1"/>
  <c r="M20" i="16"/>
  <c r="N20" i="16" s="1"/>
  <c r="N7" i="16"/>
  <c r="N22" i="16"/>
  <c r="M15" i="16"/>
  <c r="N15" i="16" s="1"/>
  <c r="N3" i="16"/>
  <c r="P17" i="16"/>
  <c r="Q17" i="16"/>
  <c r="M16" i="16"/>
  <c r="N16" i="16" s="1"/>
  <c r="P2" i="16"/>
  <c r="Q2" i="16"/>
  <c r="M4" i="16"/>
  <c r="N4" i="16" s="1"/>
  <c r="M19" i="16"/>
  <c r="N19" i="16" s="1"/>
  <c r="M23" i="16"/>
  <c r="N23" i="16" s="1"/>
  <c r="M24" i="16"/>
  <c r="N24" i="16" s="1"/>
  <c r="B1" i="10"/>
  <c r="C1" i="10"/>
  <c r="Q4" i="16" l="1"/>
  <c r="P4" i="16"/>
  <c r="P24" i="16"/>
  <c r="Q24" i="16" s="1"/>
  <c r="Q23" i="16"/>
  <c r="P23" i="16"/>
  <c r="P20" i="16"/>
  <c r="Q20" i="16" s="1"/>
  <c r="Q12" i="16"/>
  <c r="P12" i="16"/>
  <c r="Q19" i="16"/>
  <c r="P19" i="16"/>
  <c r="Q16" i="16"/>
  <c r="P16" i="16"/>
  <c r="Q15" i="16"/>
  <c r="P15" i="16"/>
  <c r="Q8" i="16"/>
  <c r="P8" i="16"/>
  <c r="Q22" i="16"/>
  <c r="P22" i="16"/>
  <c r="Q3" i="16"/>
  <c r="P3" i="16"/>
  <c r="Q7" i="16"/>
  <c r="P7" i="16"/>
  <c r="Q18" i="16"/>
  <c r="P18" i="16"/>
  <c r="Q11" i="16"/>
  <c r="P11" i="16"/>
  <c r="E22" i="5"/>
  <c r="C6" i="5"/>
  <c r="C18" i="10"/>
  <c r="E16" i="5" s="1"/>
  <c r="C17" i="10"/>
  <c r="E15" i="5" s="1"/>
  <c r="C16" i="10"/>
  <c r="E17" i="5" s="1"/>
  <c r="C15" i="10"/>
  <c r="E19" i="5" s="1"/>
  <c r="C14" i="10"/>
  <c r="E20" i="5" s="1"/>
  <c r="C13" i="10"/>
  <c r="E18" i="5" s="1"/>
  <c r="C12" i="10"/>
  <c r="C11" i="10"/>
  <c r="E6" i="5" s="1"/>
  <c r="A6" i="5" l="1"/>
  <c r="B4" i="5"/>
  <c r="E21" i="5" s="1"/>
  <c r="F21" i="4" l="1"/>
  <c r="H21" i="4"/>
  <c r="I21" i="4" s="1"/>
  <c r="F22" i="4"/>
  <c r="H22" i="4"/>
  <c r="I22" i="4" s="1"/>
  <c r="F23" i="4"/>
  <c r="H23" i="4"/>
  <c r="I23" i="4" s="1"/>
  <c r="F24" i="4"/>
  <c r="H24" i="4"/>
  <c r="I24" i="4" s="1"/>
  <c r="F16" i="4"/>
  <c r="H16" i="4"/>
  <c r="I16" i="4" s="1"/>
  <c r="F17" i="4"/>
  <c r="H17" i="4"/>
  <c r="I17" i="4" s="1"/>
  <c r="F18" i="4"/>
  <c r="H18" i="4"/>
  <c r="I18" i="4" s="1"/>
  <c r="F19" i="4"/>
  <c r="H19" i="4"/>
  <c r="I19" i="4" s="1"/>
  <c r="F20" i="4"/>
  <c r="H20" i="4"/>
  <c r="I20" i="4" s="1"/>
  <c r="F15" i="4"/>
  <c r="F14" i="4"/>
  <c r="F13" i="4"/>
  <c r="F3" i="4"/>
  <c r="F4" i="4"/>
  <c r="F5" i="4"/>
  <c r="F6" i="4"/>
  <c r="F7" i="4"/>
  <c r="F8" i="4"/>
  <c r="F9" i="4"/>
  <c r="F10" i="4"/>
  <c r="F11" i="4"/>
  <c r="F12" i="4"/>
  <c r="F2" i="4"/>
  <c r="H5" i="4"/>
  <c r="I5" i="4" s="1"/>
  <c r="H6" i="4"/>
  <c r="I6" i="4" s="1"/>
  <c r="H7" i="4"/>
  <c r="I7" i="4" s="1"/>
  <c r="K7" i="4" s="1"/>
  <c r="M7" i="4" s="1"/>
  <c r="H8" i="4"/>
  <c r="I8" i="4" s="1"/>
  <c r="K8" i="4" s="1"/>
  <c r="H9" i="4"/>
  <c r="I9" i="4" s="1"/>
  <c r="H10" i="4"/>
  <c r="I10" i="4" s="1"/>
  <c r="H11" i="4"/>
  <c r="I11" i="4" s="1"/>
  <c r="K11" i="4" s="1"/>
  <c r="M11" i="4" s="1"/>
  <c r="H12" i="4"/>
  <c r="I12" i="4" s="1"/>
  <c r="K12" i="4" s="1"/>
  <c r="H13" i="4"/>
  <c r="I13" i="4" s="1"/>
  <c r="H14" i="4"/>
  <c r="I14" i="4" s="1"/>
  <c r="H15" i="4"/>
  <c r="I15" i="4" s="1"/>
  <c r="K15" i="4" s="1"/>
  <c r="M15" i="4" s="1"/>
  <c r="H3" i="4"/>
  <c r="I3" i="4" s="1"/>
  <c r="H4" i="4"/>
  <c r="I4" i="4" s="1"/>
  <c r="H2" i="4"/>
  <c r="I2" i="4" s="1"/>
  <c r="K2" i="4" s="1"/>
  <c r="M2" i="4" s="1"/>
  <c r="N2" i="4" s="1"/>
  <c r="R2" i="4" l="1"/>
  <c r="S2" i="4" s="1"/>
  <c r="P2" i="4"/>
  <c r="Q2" i="4" s="1"/>
  <c r="K22" i="4"/>
  <c r="M22" i="4" s="1"/>
  <c r="K21" i="4"/>
  <c r="K24" i="4"/>
  <c r="M24" i="4" s="1"/>
  <c r="K23" i="4"/>
  <c r="M23" i="4" s="1"/>
  <c r="K16" i="4"/>
  <c r="K18" i="4"/>
  <c r="K19" i="4"/>
  <c r="M19" i="4" s="1"/>
  <c r="K17" i="4"/>
  <c r="M17" i="4" s="1"/>
  <c r="K20" i="4"/>
  <c r="K9" i="4"/>
  <c r="M9" i="4" s="1"/>
  <c r="K6" i="4"/>
  <c r="M6" i="4" s="1"/>
  <c r="K14" i="4"/>
  <c r="K13" i="4"/>
  <c r="M13" i="4" s="1"/>
  <c r="K10" i="4"/>
  <c r="M10" i="4" s="1"/>
  <c r="K5" i="4"/>
  <c r="M5" i="4" s="1"/>
  <c r="N15" i="4"/>
  <c r="M12" i="4"/>
  <c r="N12" i="4" s="1"/>
  <c r="N11" i="4"/>
  <c r="M8" i="4"/>
  <c r="N8" i="4" s="1"/>
  <c r="N7" i="4"/>
  <c r="K4" i="4"/>
  <c r="M4" i="4" s="1"/>
  <c r="K3" i="4"/>
  <c r="R7" i="4" l="1"/>
  <c r="S7" i="4" s="1"/>
  <c r="R15" i="4"/>
  <c r="S15" i="4" s="1"/>
  <c r="R12" i="4"/>
  <c r="S12" i="4" s="1"/>
  <c r="R8" i="4"/>
  <c r="S8" i="4" s="1"/>
  <c r="R11" i="4"/>
  <c r="S11" i="4" s="1"/>
  <c r="P8" i="4"/>
  <c r="Q8" i="4" s="1"/>
  <c r="P7" i="4"/>
  <c r="Q7" i="4" s="1"/>
  <c r="Q15" i="4"/>
  <c r="P15" i="4"/>
  <c r="P11" i="4"/>
  <c r="Q11" i="4" s="1"/>
  <c r="P12" i="4"/>
  <c r="Q12" i="4" s="1"/>
  <c r="M21" i="4"/>
  <c r="N21" i="4" s="1"/>
  <c r="N23" i="4"/>
  <c r="N24" i="4"/>
  <c r="N22" i="4"/>
  <c r="M18" i="4"/>
  <c r="N18" i="4" s="1"/>
  <c r="M16" i="4"/>
  <c r="N16" i="4" s="1"/>
  <c r="M20" i="4"/>
  <c r="N20" i="4" s="1"/>
  <c r="N19" i="4"/>
  <c r="N17" i="4"/>
  <c r="N10" i="4"/>
  <c r="M14" i="4"/>
  <c r="N14" i="4" s="1"/>
  <c r="N5" i="4"/>
  <c r="N13" i="4"/>
  <c r="N6" i="4"/>
  <c r="N9" i="4"/>
  <c r="M3" i="4"/>
  <c r="N3" i="4" s="1"/>
  <c r="N4" i="4"/>
  <c r="R4" i="4" l="1"/>
  <c r="S4" i="4" s="1"/>
  <c r="R18" i="4"/>
  <c r="S18" i="4" s="1"/>
  <c r="R3" i="4"/>
  <c r="S3" i="4" s="1"/>
  <c r="R5" i="4"/>
  <c r="S5" i="4" s="1"/>
  <c r="R19" i="4"/>
  <c r="S19" i="4" s="1"/>
  <c r="R22" i="4"/>
  <c r="S22" i="4" s="1"/>
  <c r="R9" i="4"/>
  <c r="S9" i="4" s="1"/>
  <c r="R14" i="4"/>
  <c r="S14" i="4" s="1"/>
  <c r="R20" i="4"/>
  <c r="S20" i="4" s="1"/>
  <c r="R24" i="4"/>
  <c r="S24" i="4" s="1"/>
  <c r="R6" i="4"/>
  <c r="S6" i="4" s="1"/>
  <c r="R10" i="4"/>
  <c r="S10" i="4" s="1"/>
  <c r="R16" i="4"/>
  <c r="S16" i="4" s="1"/>
  <c r="R23" i="4"/>
  <c r="S23" i="4" s="1"/>
  <c r="R13" i="4"/>
  <c r="S13" i="4" s="1"/>
  <c r="R17" i="4"/>
  <c r="S17" i="4" s="1"/>
  <c r="R21" i="4"/>
  <c r="S21" i="4" s="1"/>
  <c r="P4" i="4"/>
  <c r="Q4" i="4" s="1"/>
  <c r="P18" i="4"/>
  <c r="Q18" i="4" s="1"/>
  <c r="P3" i="4"/>
  <c r="Q3" i="4" s="1"/>
  <c r="P5" i="4"/>
  <c r="Q5" i="4" s="1"/>
  <c r="P19" i="4"/>
  <c r="Q19" i="4" s="1"/>
  <c r="P22" i="4"/>
  <c r="Q22" i="4" s="1"/>
  <c r="P9" i="4"/>
  <c r="Q9" i="4" s="1"/>
  <c r="P14" i="4"/>
  <c r="Q14" i="4" s="1"/>
  <c r="P24" i="4"/>
  <c r="Q24" i="4"/>
  <c r="P17" i="4"/>
  <c r="Q17" i="4" s="1"/>
  <c r="P6" i="4"/>
  <c r="Q6" i="4" s="1"/>
  <c r="P10" i="4"/>
  <c r="Q10" i="4" s="1"/>
  <c r="P16" i="4"/>
  <c r="Q16" i="4" s="1"/>
  <c r="P23" i="4"/>
  <c r="Q23" i="4" s="1"/>
  <c r="P21" i="4"/>
  <c r="Q21" i="4" s="1"/>
  <c r="P20" i="4"/>
  <c r="Q20" i="4" s="1"/>
  <c r="P13" i="4"/>
  <c r="Q13" i="4"/>
</calcChain>
</file>

<file path=xl/sharedStrings.xml><?xml version="1.0" encoding="utf-8"?>
<sst xmlns="http://schemas.openxmlformats.org/spreadsheetml/2006/main" count="231" uniqueCount="113">
  <si>
    <t>Producto</t>
  </si>
  <si>
    <t>Utilidad</t>
  </si>
  <si>
    <t>Enganche</t>
  </si>
  <si>
    <t>Semanas</t>
  </si>
  <si>
    <t>%</t>
  </si>
  <si>
    <t>Ubicación</t>
  </si>
  <si>
    <t>Margen</t>
  </si>
  <si>
    <t xml:space="preserve">Precio Venta </t>
  </si>
  <si>
    <t>Pagos Semanal</t>
  </si>
  <si>
    <t>Color</t>
  </si>
  <si>
    <t xml:space="preserve">HONOR X5 2GB RAM 32gb </t>
  </si>
  <si>
    <t>Azul</t>
  </si>
  <si>
    <t>Pz</t>
  </si>
  <si>
    <t>Total</t>
  </si>
  <si>
    <t>Naranja</t>
  </si>
  <si>
    <t>Negro</t>
  </si>
  <si>
    <t>HONOR X6 4G RAM + 64gb</t>
  </si>
  <si>
    <t>HONOR X6S 4GB RAM + 128gb</t>
  </si>
  <si>
    <t>Plata</t>
  </si>
  <si>
    <t>REALME C11 2021 2GB RAM + 32gb</t>
  </si>
  <si>
    <t>Gris</t>
  </si>
  <si>
    <t>REALME C21Y 4GB RAM + 64gb</t>
  </si>
  <si>
    <t>XIAOMI REDMI 9C 3GB + 64gb</t>
  </si>
  <si>
    <t>Costo Unitario</t>
  </si>
  <si>
    <t>Total Unitario</t>
  </si>
  <si>
    <t>SAMSUNG GALAXY A03S</t>
  </si>
  <si>
    <t>XIAOMI REDMI 9</t>
  </si>
  <si>
    <t>MOTOROLA MOTO E22i 2022 32gb</t>
  </si>
  <si>
    <t>XIAOMI REDMI A1 2022</t>
  </si>
  <si>
    <t>MOTO E20 DUAL SIM 32 GB GRIS</t>
  </si>
  <si>
    <t>ZTE BLADE L8</t>
  </si>
  <si>
    <t xml:space="preserve">XIAOMI POCOPHONE POCO C40 </t>
  </si>
  <si>
    <t>Procu</t>
  </si>
  <si>
    <t>*</t>
  </si>
  <si>
    <t>Contrato de Compraventa a Pagos Parciales con Reserva de Dominio.</t>
  </si>
  <si>
    <t xml:space="preserve">Vendedor </t>
  </si>
  <si>
    <t>Comprador</t>
  </si>
  <si>
    <t>Resumen</t>
  </si>
  <si>
    <r>
      <t xml:space="preserve">El comprador mencionado (en lo sucesivo el “Comprador”), acuerda adquirir y pagar a </t>
    </r>
    <r>
      <rPr>
        <b/>
        <sz val="11"/>
        <color theme="1"/>
        <rFont val="Calibri"/>
        <family val="2"/>
        <scheme val="minor"/>
      </rPr>
      <t>CARDACASH</t>
    </r>
    <r>
      <rPr>
        <sz val="11"/>
        <color theme="1"/>
        <rFont val="Calibri"/>
        <family val="2"/>
        <scheme val="minor"/>
      </rPr>
      <t xml:space="preserve">, </t>
    </r>
    <r>
      <rPr>
        <b/>
        <sz val="11"/>
        <color theme="1"/>
        <rFont val="Calibri"/>
        <family val="2"/>
        <scheme val="minor"/>
      </rPr>
      <t>S.A. DE C.V.</t>
    </r>
    <r>
      <rPr>
        <sz val="11"/>
        <color theme="1"/>
        <rFont val="Calibri"/>
        <family val="2"/>
        <scheme val="minor"/>
      </rPr>
      <t xml:space="preserve"> (en lo sucesivo el Vendedor), quien acepta la transmisión y venta del equipo mencionado (en lo sucesivo el “Equipo”) de acuerdo a los siguientes términos de este Contrato de Compraventa a Pagos Parciales con Reserva de Dominio (en lo sucesivo el “CONTRATO”).
El Comprador acuerda comprar adquirir el Equipo y pagar el precio total de venta especificado adelante (el “Precio Total”.) el cual consiste en: (SEGUNDA) el pago del monto principal del equipo;  cualesquiera impuestos, costo y/o cuotas extras o cualquier otra cantidad adicional que corresponda, y; una tasa de interés del 40.5% de acuerdo al plazo seleccionado a dicha cantidad excepto al Pago Inicial establecido en el presente Contrato al Vendedor en la fecha de firma del mismo (el “Pago Inicial”) hasta que todas las cantidades esté completamente pagadas. El Comprador acuerda pagar al Vendedor las cantidades y los términos establecidos en el presente Contrato.
El Comprador declara que los recursos utilizados para cumplir con sus obligaciones del presente Contrato, serán de procedencia lícita.</t>
    </r>
  </si>
  <si>
    <t>Programa de Pagos.</t>
  </si>
  <si>
    <t>B) IVA</t>
  </si>
  <si>
    <t>D) Pago Inicial</t>
  </si>
  <si>
    <t>E) Plazos (Semanales)</t>
  </si>
  <si>
    <t>F) Monto de Cada pago</t>
  </si>
  <si>
    <t xml:space="preserve">El monto de cada parcialidad semanal </t>
  </si>
  <si>
    <t>A) Precio del Equipo sin IVA</t>
  </si>
  <si>
    <t>C) Precio del Equipo con IVA</t>
  </si>
  <si>
    <t>Equipo excluyendo IVA</t>
  </si>
  <si>
    <t>IVA del equipo</t>
  </si>
  <si>
    <t>Equipo incluyendo IVA</t>
  </si>
  <si>
    <t xml:space="preserve">El monto pagado al Vendedor </t>
  </si>
  <si>
    <t>El número de parcialidades semanales</t>
  </si>
  <si>
    <t>Información adicional</t>
  </si>
  <si>
    <t>Tecnología de Bloqueo</t>
  </si>
  <si>
    <r>
      <rPr>
        <b/>
        <sz val="9"/>
        <color theme="1"/>
        <rFont val="Calibri"/>
        <family val="2"/>
        <scheme val="minor"/>
      </rPr>
      <t xml:space="preserve">Si la totalidad o una parte de un pago no se realiza para su fecha del vencimiento, el Equipo será bloqueado automáticamente por el software de bloqueo del Equipo y el Comprador no podrá utilizar el Equipo, excepto para llamar a un número local para emergencias y a un numero de servicio al cliente, hasta que ponga su cuenta al corriente. </t>
    </r>
    <r>
      <rPr>
        <b/>
        <sz val="11"/>
        <color theme="1"/>
        <rFont val="Calibri"/>
        <family val="2"/>
        <scheme val="minor"/>
      </rPr>
      <t xml:space="preserve">
Acepto. ________________________________________________</t>
    </r>
  </si>
  <si>
    <t>Garantía/Plan de Reparación  contra daño:</t>
  </si>
  <si>
    <t xml:space="preserve">El equipo cuenta con una garantía por defecto de fabricación y un Plan de Reparación contra daño al mismo, en los términos y bajo las condiciones aquí establecidas. En caso de cualquier daño del equipo percibido por parte del Comprador, este deberá marcar directamente a Carda Cash al número 55-8345-1209. </t>
  </si>
  <si>
    <t xml:space="preserve">PRECIO CONTADO </t>
  </si>
  <si>
    <t>SIN IVA</t>
  </si>
  <si>
    <t>IVA</t>
  </si>
  <si>
    <t>FECHA:</t>
  </si>
  <si>
    <t>VENDEDOR:</t>
  </si>
  <si>
    <t>CLIENTE:</t>
  </si>
  <si>
    <t>H)  IMEI</t>
  </si>
  <si>
    <t>Imei del equipo</t>
  </si>
  <si>
    <t>IMEI</t>
  </si>
  <si>
    <t>CODIGO</t>
  </si>
  <si>
    <t>AB013</t>
  </si>
  <si>
    <t>AB014</t>
  </si>
  <si>
    <t>AB016</t>
  </si>
  <si>
    <t>PRODUCTO</t>
  </si>
  <si>
    <t>PRECIO DE CONTADO</t>
  </si>
  <si>
    <t>PAGO SEMANAL</t>
  </si>
  <si>
    <t>SEMANAS</t>
  </si>
  <si>
    <t>COSTO TOTAL</t>
  </si>
  <si>
    <t xml:space="preserve">SIN IVA </t>
  </si>
  <si>
    <t>CON IVA</t>
  </si>
  <si>
    <t>PAGO INICIAL</t>
  </si>
  <si>
    <t>FOLIO:</t>
  </si>
  <si>
    <t>SUC:</t>
  </si>
  <si>
    <t>PROCURADURÍA</t>
  </si>
  <si>
    <t>CARMEN RAMIREZ COLIN</t>
  </si>
  <si>
    <t>CROSS BLUE</t>
  </si>
  <si>
    <t>CEL001</t>
  </si>
  <si>
    <t>AB0000002</t>
  </si>
  <si>
    <t>AB0000003</t>
  </si>
  <si>
    <t>CEL002</t>
  </si>
  <si>
    <t>CEL003</t>
  </si>
  <si>
    <t>AB0000000005</t>
  </si>
  <si>
    <t>AB0000007</t>
  </si>
  <si>
    <t>CEL004</t>
  </si>
  <si>
    <t>AB00000009</t>
  </si>
  <si>
    <t>CEL005</t>
  </si>
  <si>
    <t>CEL006</t>
  </si>
  <si>
    <t>CEL007</t>
  </si>
  <si>
    <t>CEL008</t>
  </si>
  <si>
    <t>CEL009</t>
  </si>
  <si>
    <t>CEL0010</t>
  </si>
  <si>
    <t>Pagos Semanales</t>
  </si>
  <si>
    <t>G) Fecha de Vencimiento</t>
  </si>
  <si>
    <t>Fecha en la que finalizan los pagos</t>
  </si>
  <si>
    <t>HONOR X8</t>
  </si>
  <si>
    <t>R1</t>
  </si>
  <si>
    <t>CEL0011</t>
  </si>
  <si>
    <t>Microondas Mabe HMM09NJC</t>
  </si>
  <si>
    <t>Columna1</t>
  </si>
  <si>
    <t>VENTA</t>
  </si>
  <si>
    <t>Horno de microondas Winia kor-n3hmm</t>
  </si>
  <si>
    <t>Horno de microondas Winia kor-1n0as</t>
  </si>
  <si>
    <t>SECADOR CENTRÍFUGO SCK-60 koblenz</t>
  </si>
  <si>
    <t>BOILER ENERHIT 5 LT PASO</t>
  </si>
  <si>
    <t>Lavadora Automática Winia DWF-DB1B421ASLS1 21Kg</t>
  </si>
  <si>
    <t xml:space="preserve">Luis alberto jimenez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</si>
</sst>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164" formatCode="_-&quot;$&quot;* #,##0_-;\-&quot;$&quot;* #,##0_-;_-&quot;$&quot;* &quot;-&quot;??_-;_-@_-"/>
    <numFmt numFmtId="165" formatCode="[$-F400]h:mm:ss\ AM/PM"/>
  </numFmts>
  <fonts count="18"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2"/>
      <color theme="1"/>
      <name val="Calibri"/>
      <family val="2"/>
      <scheme val="minor"/>
    </font>
    <font>
      <b/>
      <sz val="12"/>
      <color theme="1" tint="4.9989318521683403E-2"/>
      <name val="Calibri"/>
      <family val="2"/>
      <scheme val="minor"/>
    </font>
    <font>
      <b/>
      <sz val="10"/>
      <color theme="1"/>
      <name val="Calibri"/>
      <family val="2"/>
      <scheme val="minor"/>
    </font>
    <font>
      <sz val="10"/>
      <color theme="1"/>
      <name val="Calibri"/>
      <family val="2"/>
      <scheme val="minor"/>
    </font>
    <font>
      <b/>
      <sz val="9"/>
      <color theme="1"/>
      <name val="Calibri"/>
      <family val="2"/>
      <scheme val="minor"/>
    </font>
    <font>
      <sz val="8"/>
      <name val="Calibri"/>
      <family val="2"/>
      <scheme val="minor"/>
    </font>
    <font>
      <b/>
      <sz val="16"/>
      <color theme="1"/>
      <name val="Agency FB"/>
      <family val="2"/>
    </font>
    <font>
      <b/>
      <sz val="18"/>
      <color theme="1"/>
      <name val="Agency FB"/>
      <family val="2"/>
    </font>
    <font>
      <b/>
      <u/>
      <sz val="18"/>
      <color theme="1"/>
      <name val="Agency FB"/>
      <family val="2"/>
    </font>
    <font>
      <b/>
      <sz val="16"/>
      <color theme="0"/>
      <name val="Agency FB"/>
      <family val="2"/>
    </font>
    <font>
      <b/>
      <sz val="18"/>
      <color theme="0"/>
      <name val="Agency FB"/>
      <family val="2"/>
    </font>
    <font>
      <b/>
      <sz val="11"/>
      <color theme="0"/>
      <name val="Calibri"/>
      <family val="2"/>
      <scheme val="minor"/>
    </font>
    <font>
      <b/>
      <sz val="18"/>
      <color theme="0"/>
      <name val="Calibri"/>
      <family val="2"/>
      <scheme val="minor"/>
    </font>
    <font>
      <b/>
      <sz val="16"/>
      <color theme="4" tint="0.59999389629810485"/>
      <name val="Agency FB"/>
      <family val="2"/>
    </font>
  </fonts>
  <fills count="6">
    <fill>
      <patternFill patternType="none"/>
    </fill>
    <fill>
      <patternFill patternType="gray125"/>
    </fill>
    <fill>
      <patternFill patternType="solid">
        <fgColor theme="8" tint="0.39997558519241921"/>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4.9989318521683403E-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s>
  <cellStyleXfs count="3">
    <xf numFmtId="0" fontId="0" fillId="0" borderId="0"/>
    <xf numFmtId="44" fontId="1" fillId="0" borderId="0" applyFont="0" applyFill="0" applyBorder="0" applyAlignment="0" applyProtection="0"/>
    <xf numFmtId="44" fontId="1" fillId="0" borderId="0" applyFont="0" applyFill="0" applyBorder="0" applyAlignment="0" applyProtection="0"/>
  </cellStyleXfs>
  <cellXfs count="58">
    <xf numFmtId="0" fontId="0" fillId="0" borderId="0" xfId="0"/>
    <xf numFmtId="0" fontId="2" fillId="0" borderId="0" xfId="0" applyFont="1"/>
    <xf numFmtId="44" fontId="2" fillId="0" borderId="0" xfId="0" applyNumberFormat="1" applyFont="1"/>
    <xf numFmtId="44" fontId="2" fillId="0" borderId="0" xfId="1" applyFont="1"/>
    <xf numFmtId="0" fontId="5" fillId="2" borderId="0" xfId="0" applyFont="1" applyFill="1"/>
    <xf numFmtId="0" fontId="5" fillId="2" borderId="0" xfId="0" applyFont="1" applyFill="1" applyAlignment="1">
      <alignment horizontal="center" vertical="center"/>
    </xf>
    <xf numFmtId="0" fontId="2" fillId="0" borderId="0" xfId="0" applyFont="1" applyAlignment="1">
      <alignment horizontal="right"/>
    </xf>
    <xf numFmtId="0" fontId="2" fillId="0" borderId="0" xfId="0" applyFont="1" applyAlignment="1">
      <alignment vertical="center"/>
    </xf>
    <xf numFmtId="0" fontId="2" fillId="0" borderId="0" xfId="0" applyFont="1" applyAlignment="1">
      <alignment horizontal="center" vertical="center"/>
    </xf>
    <xf numFmtId="0" fontId="4" fillId="0" borderId="0" xfId="0" applyFont="1" applyAlignment="1">
      <alignment vertical="center"/>
    </xf>
    <xf numFmtId="14" fontId="4" fillId="0" borderId="0" xfId="0" applyNumberFormat="1" applyFont="1" applyAlignment="1">
      <alignment horizontal="center" vertical="center"/>
    </xf>
    <xf numFmtId="0" fontId="4" fillId="0" borderId="0" xfId="0" applyFont="1" applyAlignment="1">
      <alignment horizontal="right" vertical="center"/>
    </xf>
    <xf numFmtId="1" fontId="4" fillId="0" borderId="0" xfId="0" applyNumberFormat="1" applyFont="1" applyAlignment="1">
      <alignment horizontal="center" vertical="center"/>
    </xf>
    <xf numFmtId="44" fontId="0" fillId="0" borderId="0" xfId="1" applyFont="1"/>
    <xf numFmtId="164" fontId="0" fillId="0" borderId="0" xfId="1" applyNumberFormat="1" applyFont="1"/>
    <xf numFmtId="0" fontId="0" fillId="3" borderId="0" xfId="0" applyFill="1" applyProtection="1">
      <protection hidden="1"/>
    </xf>
    <xf numFmtId="0" fontId="10" fillId="3" borderId="0" xfId="0" applyFont="1" applyFill="1" applyProtection="1">
      <protection hidden="1"/>
    </xf>
    <xf numFmtId="0" fontId="11" fillId="3" borderId="0" xfId="0" applyFont="1" applyFill="1" applyProtection="1">
      <protection hidden="1"/>
    </xf>
    <xf numFmtId="0" fontId="12" fillId="4" borderId="0" xfId="0" applyFont="1" applyFill="1" applyProtection="1">
      <protection locked="0" hidden="1"/>
    </xf>
    <xf numFmtId="1" fontId="11" fillId="4" borderId="0" xfId="0" applyNumberFormat="1" applyFont="1" applyFill="1" applyAlignment="1" applyProtection="1">
      <alignment horizontal="left" vertical="center"/>
      <protection locked="0" hidden="1"/>
    </xf>
    <xf numFmtId="0" fontId="13" fillId="3" borderId="0" xfId="0" applyFont="1" applyFill="1" applyProtection="1">
      <protection hidden="1"/>
    </xf>
    <xf numFmtId="44" fontId="13" fillId="3" borderId="0" xfId="1" applyFont="1" applyFill="1" applyProtection="1">
      <protection hidden="1"/>
    </xf>
    <xf numFmtId="0" fontId="10" fillId="4" borderId="0" xfId="0" applyFont="1" applyFill="1" applyProtection="1">
      <protection hidden="1"/>
    </xf>
    <xf numFmtId="44" fontId="10" fillId="4" borderId="0" xfId="1" applyFont="1" applyFill="1" applyProtection="1">
      <protection hidden="1"/>
    </xf>
    <xf numFmtId="0" fontId="14" fillId="5" borderId="0" xfId="0" applyFont="1" applyFill="1" applyProtection="1">
      <protection locked="0" hidden="1"/>
    </xf>
    <xf numFmtId="14" fontId="10" fillId="3" borderId="0" xfId="0" applyNumberFormat="1" applyFont="1" applyFill="1" applyProtection="1">
      <protection hidden="1"/>
    </xf>
    <xf numFmtId="165" fontId="10" fillId="3" borderId="0" xfId="0" applyNumberFormat="1" applyFont="1" applyFill="1" applyProtection="1">
      <protection hidden="1"/>
    </xf>
    <xf numFmtId="0" fontId="15" fillId="3" borderId="0" xfId="0" applyFont="1" applyFill="1" applyAlignment="1" applyProtection="1">
      <alignment horizontal="center" vertical="center"/>
      <protection locked="0" hidden="1"/>
    </xf>
    <xf numFmtId="1" fontId="16" fillId="3" borderId="0" xfId="0" applyNumberFormat="1" applyFont="1" applyFill="1" applyProtection="1">
      <protection locked="0" hidden="1"/>
    </xf>
    <xf numFmtId="0" fontId="4" fillId="0" borderId="0" xfId="0" applyFont="1" applyAlignment="1">
      <alignment horizontal="right"/>
    </xf>
    <xf numFmtId="44" fontId="17" fillId="4" borderId="0" xfId="1" applyFont="1" applyFill="1" applyProtection="1">
      <protection hidden="1"/>
    </xf>
    <xf numFmtId="0" fontId="10" fillId="4" borderId="0" xfId="1" applyNumberFormat="1" applyFont="1" applyFill="1" applyAlignment="1" applyProtection="1">
      <alignment horizontal="center" vertical="center"/>
      <protection hidden="1"/>
    </xf>
    <xf numFmtId="0" fontId="6" fillId="0" borderId="1" xfId="0" applyFont="1" applyBorder="1" applyAlignment="1">
      <alignment horizontal="center" vertical="center" wrapText="1"/>
    </xf>
    <xf numFmtId="0" fontId="0" fillId="0" borderId="0" xfId="0" applyAlignment="1">
      <alignment horizontal="center"/>
    </xf>
    <xf numFmtId="0" fontId="0" fillId="0" borderId="8" xfId="0" applyBorder="1" applyAlignment="1">
      <alignment horizont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3" xfId="0" applyFont="1" applyBorder="1" applyAlignment="1">
      <alignment horizontal="left" vertical="center"/>
    </xf>
    <xf numFmtId="0" fontId="4" fillId="0" borderId="4" xfId="0" applyFont="1" applyBorder="1" applyAlignment="1">
      <alignment horizontal="left" vertical="center"/>
    </xf>
    <xf numFmtId="0" fontId="4" fillId="0" borderId="5" xfId="0" applyFont="1" applyBorder="1" applyAlignment="1">
      <alignment horizontal="left" vertical="center"/>
    </xf>
    <xf numFmtId="0" fontId="4" fillId="0" borderId="6" xfId="0" applyFont="1" applyBorder="1" applyAlignment="1">
      <alignment horizontal="left" vertical="center"/>
    </xf>
    <xf numFmtId="0" fontId="2" fillId="0" borderId="1" xfId="0" applyFont="1" applyBorder="1" applyAlignment="1">
      <alignment horizontal="center" vertical="center"/>
    </xf>
    <xf numFmtId="0" fontId="2" fillId="0" borderId="1" xfId="0" applyFont="1" applyBorder="1" applyAlignment="1">
      <alignment horizontal="center" wrapText="1"/>
    </xf>
    <xf numFmtId="0" fontId="2" fillId="0" borderId="1" xfId="0" applyFont="1" applyBorder="1" applyAlignment="1">
      <alignment horizontal="center"/>
    </xf>
    <xf numFmtId="1" fontId="2" fillId="0" borderId="7" xfId="0" applyNumberFormat="1" applyFont="1" applyBorder="1" applyAlignment="1">
      <alignment horizontal="center" vertical="center"/>
    </xf>
    <xf numFmtId="1" fontId="2" fillId="0" borderId="2" xfId="0" applyNumberFormat="1" applyFont="1" applyBorder="1" applyAlignment="1">
      <alignment horizontal="center" vertical="center"/>
    </xf>
    <xf numFmtId="0" fontId="7" fillId="0" borderId="7" xfId="0" applyFont="1" applyBorder="1"/>
    <xf numFmtId="0" fontId="7" fillId="0" borderId="2" xfId="0" applyFont="1" applyBorder="1"/>
    <xf numFmtId="44" fontId="2" fillId="0" borderId="7" xfId="0" applyNumberFormat="1" applyFont="1" applyBorder="1" applyAlignment="1">
      <alignment horizontal="center" vertical="center"/>
    </xf>
    <xf numFmtId="0" fontId="2" fillId="0" borderId="2" xfId="0" applyFont="1" applyBorder="1" applyAlignment="1">
      <alignment horizontal="center" vertical="center"/>
    </xf>
    <xf numFmtId="0" fontId="2" fillId="0" borderId="7" xfId="0" applyFont="1" applyBorder="1"/>
    <xf numFmtId="0" fontId="2" fillId="0" borderId="2" xfId="0" applyFont="1" applyBorder="1"/>
    <xf numFmtId="0" fontId="0" fillId="0" borderId="0" xfId="0" applyAlignment="1">
      <alignment horizontal="left" vertical="center" wrapText="1"/>
    </xf>
    <xf numFmtId="0" fontId="3" fillId="0" borderId="7" xfId="0" applyFont="1" applyBorder="1" applyAlignment="1">
      <alignment horizontal="center"/>
    </xf>
    <xf numFmtId="0" fontId="3" fillId="0" borderId="2" xfId="0" applyFont="1" applyBorder="1" applyAlignment="1">
      <alignment horizontal="center"/>
    </xf>
    <xf numFmtId="14" fontId="2" fillId="0" borderId="7" xfId="0" applyNumberFormat="1" applyFont="1" applyBorder="1" applyAlignment="1">
      <alignment horizontal="center" vertical="center"/>
    </xf>
  </cellXfs>
  <cellStyles count="3">
    <cellStyle name="Moneda" xfId="1" builtinId="4"/>
    <cellStyle name="Moneda 2" xfId="2" xr:uid="{54B3FFC8-65CF-4904-85D1-FF275EE6401D}"/>
    <cellStyle name="Normal" xfId="0" builtinId="0"/>
  </cellStyles>
  <dxfs count="38">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4" formatCode="_-&quot;$&quot;* #,##0_-;\-&quot;$&quot;* #,##0_-;_-&quot;$&quot;* &quot;-&quot;??_-;_-@_-"/>
    </dxf>
    <dxf>
      <font>
        <b val="0"/>
        <i val="0"/>
        <strike val="0"/>
        <condense val="0"/>
        <extend val="0"/>
        <outline val="0"/>
        <shadow val="0"/>
        <u val="none"/>
        <vertAlign val="baseline"/>
        <sz val="11"/>
        <color theme="1"/>
        <name val="Calibri"/>
        <family val="2"/>
        <scheme val="minor"/>
      </font>
      <numFmt numFmtId="164" formatCode="_-&quot;$&quot;* #,##0_-;\-&quot;$&quot;* #,##0_-;_-&quot;$&quot;* &quot;-&quot;??_-;_-@_-"/>
    </dxf>
    <dxf>
      <font>
        <b val="0"/>
        <i val="0"/>
        <strike val="0"/>
        <condense val="0"/>
        <extend val="0"/>
        <outline val="0"/>
        <shadow val="0"/>
        <u val="none"/>
        <vertAlign val="baseline"/>
        <sz val="11"/>
        <color theme="1"/>
        <name val="Calibri"/>
        <family val="2"/>
        <scheme val="minor"/>
      </font>
      <numFmt numFmtId="164" formatCode="_-&quot;$&quot;* #,##0_-;\-&quot;$&quot;* #,##0_-;_-&quot;$&quot;*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2"/>
        <color theme="1" tint="4.9989318521683403E-2"/>
        <name val="Calibri"/>
        <family val="2"/>
        <scheme val="minor"/>
      </font>
      <fill>
        <patternFill patternType="solid">
          <fgColor indexed="64"/>
          <bgColor theme="8" tint="0.39997558519241921"/>
        </patternFill>
      </fill>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numFmt numFmtId="34" formatCode="_-&quot;$&quot;* #,##0.00_-;\-&quot;$&quot;* #,##0.00_-;_-&quot;$&quot;* &quot;-&quot;??_-;_-@_-"/>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2"/>
        <color theme="1" tint="4.9989318521683403E-2"/>
        <name val="Calibri"/>
        <family val="2"/>
        <scheme val="minor"/>
      </font>
      <fill>
        <patternFill patternType="solid">
          <fgColor indexed="64"/>
          <bgColor theme="8"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171450</xdr:colOff>
      <xdr:row>0</xdr:row>
      <xdr:rowOff>47626</xdr:rowOff>
    </xdr:from>
    <xdr:to>
      <xdr:col>5</xdr:col>
      <xdr:colOff>966284</xdr:colOff>
      <xdr:row>3</xdr:row>
      <xdr:rowOff>238125</xdr:rowOff>
    </xdr:to>
    <xdr:pic>
      <xdr:nvPicPr>
        <xdr:cNvPr id="3" name="Imagen 2">
          <a:extLst>
            <a:ext uri="{FF2B5EF4-FFF2-40B4-BE49-F238E27FC236}">
              <a16:creationId xmlns:a16="http://schemas.microsoft.com/office/drawing/2014/main" id="{2EEFC5DE-6BB0-E4AF-76CD-6F7B476BD0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62450" y="47626"/>
          <a:ext cx="1556834" cy="771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0</xdr:row>
      <xdr:rowOff>80140</xdr:rowOff>
    </xdr:from>
    <xdr:to>
      <xdr:col>1</xdr:col>
      <xdr:colOff>133350</xdr:colOff>
      <xdr:row>5</xdr:row>
      <xdr:rowOff>41784</xdr:rowOff>
    </xdr:to>
    <xdr:pic>
      <xdr:nvPicPr>
        <xdr:cNvPr id="3" name="Imagen 2">
          <a:extLst>
            <a:ext uri="{FF2B5EF4-FFF2-40B4-BE49-F238E27FC236}">
              <a16:creationId xmlns:a16="http://schemas.microsoft.com/office/drawing/2014/main" id="{FBF68F72-CAF9-FA98-DFC7-FBA85DB48F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2875" y="80140"/>
          <a:ext cx="1133475" cy="561719"/>
        </a:xfrm>
        <a:prstGeom prst="rect">
          <a:avLst/>
        </a:prstGeom>
      </xdr:spPr>
    </xdr:pic>
    <xdr:clientData/>
  </xdr:twoCellAnchor>
  <xdr:twoCellAnchor>
    <xdr:from>
      <xdr:col>4</xdr:col>
      <xdr:colOff>161925</xdr:colOff>
      <xdr:row>6</xdr:row>
      <xdr:rowOff>9525</xdr:rowOff>
    </xdr:from>
    <xdr:to>
      <xdr:col>6</xdr:col>
      <xdr:colOff>676275</xdr:colOff>
      <xdr:row>7</xdr:row>
      <xdr:rowOff>304800</xdr:rowOff>
    </xdr:to>
    <xdr:sp macro="[0]!GUARDAR" textlink="">
      <xdr:nvSpPr>
        <xdr:cNvPr id="4" name="CuadroTexto 3">
          <a:extLst>
            <a:ext uri="{FF2B5EF4-FFF2-40B4-BE49-F238E27FC236}">
              <a16:creationId xmlns:a16="http://schemas.microsoft.com/office/drawing/2014/main" id="{0C9E1BE4-CD97-BA4B-5C7B-94CCD0070695}"/>
            </a:ext>
          </a:extLst>
        </xdr:cNvPr>
        <xdr:cNvSpPr txBox="1"/>
      </xdr:nvSpPr>
      <xdr:spPr>
        <a:xfrm>
          <a:off x="6477000" y="857250"/>
          <a:ext cx="2038350" cy="619125"/>
        </a:xfrm>
        <a:prstGeom prst="rect">
          <a:avLst/>
        </a:prstGeom>
        <a:ln/>
      </xdr:spPr>
      <xdr:style>
        <a:lnRef idx="0">
          <a:schemeClr val="dk1"/>
        </a:lnRef>
        <a:fillRef idx="3">
          <a:schemeClr val="dk1"/>
        </a:fillRef>
        <a:effectRef idx="3">
          <a:schemeClr val="dk1"/>
        </a:effectRef>
        <a:fontRef idx="minor">
          <a:schemeClr val="lt1"/>
        </a:fontRef>
      </xdr:style>
      <xdr:txBody>
        <a:bodyPr vertOverflow="clip" horzOverflow="clip" wrap="square" rtlCol="0" anchor="ctr"/>
        <a:lstStyle/>
        <a:p>
          <a:pPr algn="ctr"/>
          <a:r>
            <a:rPr lang="es-MX" sz="2800">
              <a:latin typeface="Abadi" panose="020B0604020104020204" pitchFamily="34" charset="0"/>
            </a:rPr>
            <a:t>GUARDAR</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AA1BC8-2694-4586-8511-B9D1C5FCB4AE}" name="Tabla1" displayName="Tabla1" ref="A1:S34" totalsRowShown="0" headerRowDxfId="37" dataDxfId="36">
  <autoFilter ref="A1:S34" xr:uid="{A0AA1BC8-2694-4586-8511-B9D1C5FCB4AE}"/>
  <tableColumns count="19">
    <tableColumn id="1" xr3:uid="{6BB12A5C-92B0-4B8E-ACE2-C0FF9008D25D}" name="Producto"/>
    <tableColumn id="2" xr3:uid="{2FAEF485-9CB0-40AE-BDBF-112EBC2A9503}" name="Pz"/>
    <tableColumn id="3" xr3:uid="{7491197D-B6FB-4D53-9949-45CC3235741B}" name="Color"/>
    <tableColumn id="4" xr3:uid="{7FB1F160-B60F-4695-8DEB-5EA9F3B039A4}" name="Ubicación"/>
    <tableColumn id="5" xr3:uid="{8D799761-B78B-4FC4-972C-FBB93270C3AD}" name="Costo Unitario" dataDxfId="35" dataCellStyle="Moneda"/>
    <tableColumn id="6" xr3:uid="{76ECE3E2-5433-4479-B193-2A973899BBFD}" name="Total Unitario" dataDxfId="34">
      <calculatedColumnFormula>E2*B2</calculatedColumnFormula>
    </tableColumn>
    <tableColumn id="7" xr3:uid="{1E4A8B60-E5B5-42C7-B9C8-C118EB58E22E}" name="Margen" dataDxfId="33"/>
    <tableColumn id="8" xr3:uid="{9C5C7DF1-1356-4864-9E79-4E02B2F895CB}" name="Utilidad" dataDxfId="32">
      <calculatedColumnFormula>ROUNDUP(E2*G2,0)</calculatedColumnFormula>
    </tableColumn>
    <tableColumn id="9" xr3:uid="{8CAB72A4-CA2D-47F4-8A40-87D14CC1601C}" name="Precio Venta " dataDxfId="31">
      <calculatedColumnFormula>E2+H2</calculatedColumnFormula>
    </tableColumn>
    <tableColumn id="10" xr3:uid="{03BC79B9-4021-4C27-A343-1F1F36AD9AB3}" name="%" dataDxfId="30"/>
    <tableColumn id="11" xr3:uid="{015A6B8F-32E3-4CFE-B22E-F30E47532781}" name="Enganche" dataDxfId="29">
      <calculatedColumnFormula>ROUNDUP(J2*I2,0)</calculatedColumnFormula>
    </tableColumn>
    <tableColumn id="12" xr3:uid="{C42D0A2A-C4CE-4E1A-ADA8-F0080C85CA21}" name="Semanas" dataDxfId="28"/>
    <tableColumn id="13" xr3:uid="{38EA33E3-C34E-4B22-857B-B7D65CD6AB4E}" name="Pagos Semanal" dataDxfId="27">
      <calculatedColumnFormula>ROUNDUP((I2-K2)/L2,0)</calculatedColumnFormula>
    </tableColumn>
    <tableColumn id="14" xr3:uid="{5B97BA76-5117-4586-BE91-335E3D5B10FA}" name="Total" dataDxfId="26">
      <calculatedColumnFormula>K2+(M2*L2)</calculatedColumnFormula>
    </tableColumn>
    <tableColumn id="15" xr3:uid="{3999EDB5-2259-4DFA-8307-D9B0BEDF9B2B}" name="PRECIO CONTADO " dataDxfId="25">
      <calculatedColumnFormula>Tabla1[[#This Row],[Costo Unitario]]*0.5+Tabla1[[#This Row],[Costo Unitario]]</calculatedColumnFormula>
    </tableColumn>
    <tableColumn id="16" xr3:uid="{6184E5B1-C140-40E6-80EE-08763E227ACB}" name="SIN IVA" dataDxfId="24">
      <calculatedColumnFormula>Tabla1[[#This Row],[Total]]/1.16</calculatedColumnFormula>
    </tableColumn>
    <tableColumn id="17" xr3:uid="{5495417F-98F1-4441-867D-7E9532DDD377}" name="IVA" dataDxfId="23">
      <calculatedColumnFormula>Tabla1[[#This Row],[Total]]-Tabla1[[#This Row],[SIN IVA]]</calculatedColumnFormula>
    </tableColumn>
    <tableColumn id="18" xr3:uid="{9316F973-8A33-483F-8C56-8B4283D3CF72}" name="Columna1" dataDxfId="22">
      <calculatedColumnFormula>Tabla1[[#This Row],[Total]]*0.2</calculatedColumnFormula>
    </tableColumn>
    <tableColumn id="19" xr3:uid="{6CF50BC7-357F-431C-ADDF-7689702A806F}" name="VENTA" dataDxfId="21">
      <calculatedColumnFormula>ROUNDUP((Tabla1[[#This Row],[Total]]-Tabla1[[#This Row],[Columna1]]),0)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668192-A3DD-4B05-9D98-BA0D74AF0442}" name="Tabla13" displayName="Tabla13" ref="A1:Q24" totalsRowShown="0" headerRowDxfId="20" dataDxfId="19">
  <autoFilter ref="A1:Q24" xr:uid="{A0AA1BC8-2694-4586-8511-B9D1C5FCB4AE}"/>
  <tableColumns count="17">
    <tableColumn id="1" xr3:uid="{B4010685-6970-42E7-8FDC-A3CF12DF3431}" name="Producto"/>
    <tableColumn id="2" xr3:uid="{08660A5B-28F7-412E-B99C-DBC161DBBD09}" name="Pz"/>
    <tableColumn id="3" xr3:uid="{DA6F28FC-9978-4C0B-AB93-2BEC3B23D831}" name="Color"/>
    <tableColumn id="4" xr3:uid="{1AB0C9AE-13EE-4891-AD3F-A058B0A1B595}" name="Ubicación"/>
    <tableColumn id="5" xr3:uid="{691DE0DB-3CB6-4395-ACD0-344F059F868E}" name="Costo Unitario" dataDxfId="18" dataCellStyle="Moneda"/>
    <tableColumn id="6" xr3:uid="{A9C1F5AD-0C50-49FB-93B2-66ABB72D4FE0}" name="Total Unitario" dataDxfId="17">
      <calculatedColumnFormula>E2*B2</calculatedColumnFormula>
    </tableColumn>
    <tableColumn id="7" xr3:uid="{5E30F6B7-3DBB-469B-B961-57621AF579E6}" name="Margen" dataDxfId="16"/>
    <tableColumn id="8" xr3:uid="{7CD9B928-22CA-4C19-A3A9-9B4EADE9C6DB}" name="Utilidad" dataDxfId="15">
      <calculatedColumnFormula>ROUNDUP(E2*G2,0)</calculatedColumnFormula>
    </tableColumn>
    <tableColumn id="9" xr3:uid="{53BDA327-D913-44AB-A061-1C7DE78C8029}" name="Precio Venta " dataDxfId="14">
      <calculatedColumnFormula>E2+H2</calculatedColumnFormula>
    </tableColumn>
    <tableColumn id="10" xr3:uid="{C64F8DFE-B394-44F6-8057-8B11E90E8724}" name="%" dataDxfId="13"/>
    <tableColumn id="11" xr3:uid="{2B744737-3F49-4E28-B483-A7447AB1A9C5}" name="Enganche" dataDxfId="12">
      <calculatedColumnFormula>ROUNDUP(J2*I2,0)</calculatedColumnFormula>
    </tableColumn>
    <tableColumn id="12" xr3:uid="{C56D95A1-0A42-4BF8-938E-9CE2454DEE23}" name="Semanas" dataDxfId="11"/>
    <tableColumn id="13" xr3:uid="{71F463D8-AA5E-4DFA-90A1-AF96E9846C20}" name="Pagos Semanal" dataDxfId="10">
      <calculatedColumnFormula>ROUNDUP((I2-K2)/L2,0)</calculatedColumnFormula>
    </tableColumn>
    <tableColumn id="14" xr3:uid="{45CFDF77-7602-4503-8D9D-38B50AA71F6B}" name="Total" dataDxfId="9">
      <calculatedColumnFormula>K2+(M2*L2)</calculatedColumnFormula>
    </tableColumn>
    <tableColumn id="15" xr3:uid="{747A2965-66F7-422D-8AD5-2523074B2076}" name="PRECIO CONTADO " dataDxfId="8">
      <calculatedColumnFormula>Tabla13[[#This Row],[Costo Unitario]]*0.5+Tabla13[[#This Row],[Costo Unitario]]</calculatedColumnFormula>
    </tableColumn>
    <tableColumn id="16" xr3:uid="{D1E82754-0B0A-4774-8715-F1D264788BED}" name="SIN IVA" dataDxfId="7">
      <calculatedColumnFormula>Tabla13[[#This Row],[Total]]/1.16</calculatedColumnFormula>
    </tableColumn>
    <tableColumn id="17" xr3:uid="{85E82391-2FF6-4E89-B1BB-FA9BC7F98A8B}" name="IVA" dataDxfId="6">
      <calculatedColumnFormula>Tabla13[[#This Row],[Total]]-Tabla13[[#This Row],[SIN IVA]]</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0C9B551-45B1-46DB-A59A-77A33E8F2B84}" name="PRODUCTO" displayName="PRODUCTO" ref="A1:I20" totalsRowShown="0">
  <autoFilter ref="A1:I20" xr:uid="{20C9B551-45B1-46DB-A59A-77A33E8F2B84}"/>
  <tableColumns count="9">
    <tableColumn id="1" xr3:uid="{4394432B-5676-48F9-94A6-9E30BB35ED92}" name="CODIGO"/>
    <tableColumn id="2" xr3:uid="{52989222-CCC9-467B-83DB-EE99BC5E608F}" name="Producto"/>
    <tableColumn id="3" xr3:uid="{33710238-D6B4-4D64-9EEC-D4D2DE8E1CF9}" name="PRECIO CONTADO " dataDxfId="5" dataCellStyle="Moneda"/>
    <tableColumn id="4" xr3:uid="{DAC3AC5B-F62A-4EEC-BA0E-D7A660A4DB87}" name="PAGO INICIAL" dataDxfId="4" dataCellStyle="Moneda"/>
    <tableColumn id="5" xr3:uid="{53B0A40C-E5A9-414C-A182-6EEC823EE786}" name="Pagos Semanales" dataDxfId="3" dataCellStyle="Moneda"/>
    <tableColumn id="6" xr3:uid="{4DE7FA76-48AB-4896-9AD0-26E307CB4B41}" name="Semanas"/>
    <tableColumn id="7" xr3:uid="{BF384CF6-FAA4-4D59-8942-6497805F210B}" name="Total" dataDxfId="2" dataCellStyle="Moneda"/>
    <tableColumn id="8" xr3:uid="{18A5D0F8-9BFB-472D-908F-CCCFCF959FAD}" name="SIN IVA" dataDxfId="1" dataCellStyle="Moneda"/>
    <tableColumn id="9" xr3:uid="{66F3D1DF-FEE6-456C-A438-3642E282D612}" name="IVA" dataDxfId="0" dataCellStyle="Moneda"/>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084B-0862-44C3-8AB2-671164F47EE9}">
  <sheetPr codeName="Hoja3"/>
  <dimension ref="A1:S34"/>
  <sheetViews>
    <sheetView workbookViewId="0">
      <selection activeCell="L26" sqref="L26"/>
    </sheetView>
  </sheetViews>
  <sheetFormatPr baseColWidth="10" defaultRowHeight="15" x14ac:dyDescent="0.25"/>
  <cols>
    <col min="1" max="1" width="31.28515625" customWidth="1"/>
    <col min="2" max="2" width="5.5703125" customWidth="1"/>
    <col min="3" max="3" width="11.7109375" customWidth="1"/>
    <col min="4" max="4" width="12.7109375" customWidth="1"/>
    <col min="5" max="5" width="17.140625" customWidth="1"/>
    <col min="6" max="6" width="16.7109375" customWidth="1"/>
    <col min="7" max="7" width="10.7109375" customWidth="1"/>
    <col min="8" max="8" width="11.85546875" customWidth="1"/>
    <col min="9" max="9" width="16.140625" customWidth="1"/>
    <col min="10" max="10" width="7.28515625" bestFit="1" customWidth="1"/>
    <col min="11" max="11" width="12.5703125" customWidth="1"/>
    <col min="12" max="12" width="11.7109375" customWidth="1"/>
    <col min="13" max="13" width="17.7109375" customWidth="1"/>
    <col min="14" max="14" width="12.28515625" customWidth="1"/>
    <col min="15" max="15" width="20.85546875" customWidth="1"/>
    <col min="19" max="19" width="12" bestFit="1" customWidth="1"/>
  </cols>
  <sheetData>
    <row r="1" spans="1:19" ht="15.75" x14ac:dyDescent="0.25">
      <c r="A1" s="4" t="s">
        <v>0</v>
      </c>
      <c r="B1" s="4" t="s">
        <v>12</v>
      </c>
      <c r="C1" s="4" t="s">
        <v>9</v>
      </c>
      <c r="D1" s="4" t="s">
        <v>5</v>
      </c>
      <c r="E1" s="4" t="s">
        <v>23</v>
      </c>
      <c r="F1" s="4" t="s">
        <v>24</v>
      </c>
      <c r="G1" s="4" t="s">
        <v>6</v>
      </c>
      <c r="H1" s="4" t="s">
        <v>1</v>
      </c>
      <c r="I1" s="4" t="s">
        <v>7</v>
      </c>
      <c r="J1" s="5" t="s">
        <v>4</v>
      </c>
      <c r="K1" s="4" t="s">
        <v>2</v>
      </c>
      <c r="L1" s="4" t="s">
        <v>3</v>
      </c>
      <c r="M1" s="4" t="s">
        <v>8</v>
      </c>
      <c r="N1" s="4" t="s">
        <v>13</v>
      </c>
      <c r="O1" s="4" t="s">
        <v>57</v>
      </c>
      <c r="P1" s="4" t="s">
        <v>58</v>
      </c>
      <c r="Q1" s="4" t="s">
        <v>59</v>
      </c>
      <c r="R1" s="4" t="s">
        <v>105</v>
      </c>
      <c r="S1" s="4" t="s">
        <v>106</v>
      </c>
    </row>
    <row r="2" spans="1:19" x14ac:dyDescent="0.25">
      <c r="A2" s="1" t="s">
        <v>10</v>
      </c>
      <c r="B2" s="1">
        <v>0</v>
      </c>
      <c r="C2" s="1" t="s">
        <v>11</v>
      </c>
      <c r="D2" s="1"/>
      <c r="E2" s="3">
        <v>1899</v>
      </c>
      <c r="F2" s="2">
        <f>E2*B2</f>
        <v>0</v>
      </c>
      <c r="G2" s="1">
        <v>0.7</v>
      </c>
      <c r="H2" s="2">
        <f t="shared" ref="H2:H15" si="0">ROUNDUP(E2*G2,0)</f>
        <v>1330</v>
      </c>
      <c r="I2" s="2">
        <f t="shared" ref="I2:I15" si="1">E2+H2</f>
        <v>3229</v>
      </c>
      <c r="J2" s="1">
        <v>0.2</v>
      </c>
      <c r="K2" s="2">
        <f>ROUNDUP(J2*I2,0)</f>
        <v>646</v>
      </c>
      <c r="L2" s="1">
        <v>10</v>
      </c>
      <c r="M2" s="2">
        <f>ROUNDUP((I2-K2)/L2,0)</f>
        <v>259</v>
      </c>
      <c r="N2" s="2">
        <f>K2+(M2*L2)</f>
        <v>3236</v>
      </c>
      <c r="O2" s="2">
        <f>Tabla1[[#This Row],[Costo Unitario]]*0.5+Tabla1[[#This Row],[Costo Unitario]]</f>
        <v>2848.5</v>
      </c>
      <c r="P2" s="2">
        <f>Tabla1[[#This Row],[Total]]/1.16</f>
        <v>2789.6551724137935</v>
      </c>
      <c r="Q2" s="2">
        <f>Tabla1[[#This Row],[Total]]-Tabla1[[#This Row],[SIN IVA]]</f>
        <v>446.34482758620652</v>
      </c>
      <c r="R2" s="2">
        <f>Tabla1[[#This Row],[Total]]*0.2</f>
        <v>647.20000000000005</v>
      </c>
      <c r="S2" s="2">
        <f>ROUNDUP((Tabla1[[#This Row],[Total]]-Tabla1[[#This Row],[Columna1]]),0)</f>
        <v>2589</v>
      </c>
    </row>
    <row r="3" spans="1:19" x14ac:dyDescent="0.25">
      <c r="A3" s="1" t="s">
        <v>10</v>
      </c>
      <c r="B3" s="1">
        <v>1</v>
      </c>
      <c r="C3" s="1" t="s">
        <v>14</v>
      </c>
      <c r="D3" s="1" t="s">
        <v>32</v>
      </c>
      <c r="E3" s="3">
        <v>1899</v>
      </c>
      <c r="F3" s="2">
        <f t="shared" ref="F3:F15" si="2">E3*B3</f>
        <v>1899</v>
      </c>
      <c r="G3" s="1">
        <v>0.7</v>
      </c>
      <c r="H3" s="2">
        <f t="shared" si="0"/>
        <v>1330</v>
      </c>
      <c r="I3" s="2">
        <f t="shared" si="1"/>
        <v>3229</v>
      </c>
      <c r="J3" s="1">
        <v>0.2</v>
      </c>
      <c r="K3" s="2">
        <f>ROUNDUP(J3*I3,0)</f>
        <v>646</v>
      </c>
      <c r="L3" s="1">
        <v>10</v>
      </c>
      <c r="M3" s="2">
        <f>ROUNDUP((I3-K3)/L3,0)</f>
        <v>259</v>
      </c>
      <c r="N3" s="2">
        <f>K3+(M3*L3)</f>
        <v>3236</v>
      </c>
      <c r="O3" s="2">
        <f>Tabla1[[#This Row],[Costo Unitario]]*0.5+Tabla1[[#This Row],[Costo Unitario]]</f>
        <v>2848.5</v>
      </c>
      <c r="P3" s="2">
        <f>Tabla1[[#This Row],[Total]]/1.16</f>
        <v>2789.6551724137935</v>
      </c>
      <c r="Q3" s="2">
        <f>Tabla1[[#This Row],[Total]]-Tabla1[[#This Row],[SIN IVA]]</f>
        <v>446.34482758620652</v>
      </c>
      <c r="R3" s="2">
        <f>Tabla1[[#This Row],[Total]]*0.2</f>
        <v>647.20000000000005</v>
      </c>
      <c r="S3" s="2">
        <f>ROUNDUP((Tabla1[[#This Row],[Total]]-Tabla1[[#This Row],[Columna1]]),0)</f>
        <v>2589</v>
      </c>
    </row>
    <row r="4" spans="1:19" x14ac:dyDescent="0.25">
      <c r="A4" s="1" t="s">
        <v>10</v>
      </c>
      <c r="B4" s="1">
        <v>1</v>
      </c>
      <c r="C4" s="1" t="s">
        <v>15</v>
      </c>
      <c r="D4" s="1" t="s">
        <v>32</v>
      </c>
      <c r="E4" s="3">
        <v>1899</v>
      </c>
      <c r="F4" s="2">
        <f t="shared" si="2"/>
        <v>1899</v>
      </c>
      <c r="G4" s="1">
        <v>0.7</v>
      </c>
      <c r="H4" s="2">
        <f t="shared" si="0"/>
        <v>1330</v>
      </c>
      <c r="I4" s="2">
        <f t="shared" si="1"/>
        <v>3229</v>
      </c>
      <c r="J4" s="1">
        <v>0.2</v>
      </c>
      <c r="K4" s="2">
        <f>ROUNDUP(J4*I4,0)</f>
        <v>646</v>
      </c>
      <c r="L4" s="1">
        <v>10</v>
      </c>
      <c r="M4" s="2">
        <f>ROUNDUP((I4-K4)/L4,0)</f>
        <v>259</v>
      </c>
      <c r="N4" s="2">
        <f>K4+(M4*L4)</f>
        <v>3236</v>
      </c>
      <c r="O4" s="2">
        <f>Tabla1[[#This Row],[Costo Unitario]]*0.5+Tabla1[[#This Row],[Costo Unitario]]</f>
        <v>2848.5</v>
      </c>
      <c r="P4" s="2">
        <f>Tabla1[[#This Row],[Total]]/1.16</f>
        <v>2789.6551724137935</v>
      </c>
      <c r="Q4" s="2">
        <f>Tabla1[[#This Row],[Total]]-Tabla1[[#This Row],[SIN IVA]]</f>
        <v>446.34482758620652</v>
      </c>
      <c r="R4" s="2">
        <f>Tabla1[[#This Row],[Total]]*0.2</f>
        <v>647.20000000000005</v>
      </c>
      <c r="S4" s="2">
        <f>ROUNDUP((Tabla1[[#This Row],[Total]]-Tabla1[[#This Row],[Columna1]]),0)</f>
        <v>2589</v>
      </c>
    </row>
    <row r="5" spans="1:19" x14ac:dyDescent="0.25">
      <c r="A5" s="1" t="s">
        <v>16</v>
      </c>
      <c r="B5" s="1">
        <v>1</v>
      </c>
      <c r="C5" s="1" t="s">
        <v>11</v>
      </c>
      <c r="D5" s="1" t="s">
        <v>32</v>
      </c>
      <c r="E5" s="3">
        <v>2369</v>
      </c>
      <c r="F5" s="2">
        <f t="shared" si="2"/>
        <v>2369</v>
      </c>
      <c r="G5" s="1">
        <v>0.7</v>
      </c>
      <c r="H5" s="2">
        <f t="shared" si="0"/>
        <v>1659</v>
      </c>
      <c r="I5" s="2">
        <f t="shared" si="1"/>
        <v>4028</v>
      </c>
      <c r="J5" s="1">
        <v>0.2</v>
      </c>
      <c r="K5" s="2">
        <f t="shared" ref="K5:K15" si="3">ROUNDUP(J5*I5,0)</f>
        <v>806</v>
      </c>
      <c r="L5" s="1">
        <v>10</v>
      </c>
      <c r="M5" s="2">
        <f t="shared" ref="M5:M15" si="4">ROUNDUP((I5-K5)/L5,0)</f>
        <v>323</v>
      </c>
      <c r="N5" s="2">
        <f t="shared" ref="N5:N15" si="5">K5+(M5*L5)</f>
        <v>4036</v>
      </c>
      <c r="O5" s="2">
        <f>Tabla1[[#This Row],[Costo Unitario]]*0.5+Tabla1[[#This Row],[Costo Unitario]]</f>
        <v>3553.5</v>
      </c>
      <c r="P5" s="2">
        <f>Tabla1[[#This Row],[Total]]/1.16</f>
        <v>3479.3103448275865</v>
      </c>
      <c r="Q5" s="2">
        <f>Tabla1[[#This Row],[Total]]-Tabla1[[#This Row],[SIN IVA]]</f>
        <v>556.6896551724135</v>
      </c>
      <c r="R5" s="2">
        <f>Tabla1[[#This Row],[Total]]*0.2</f>
        <v>807.2</v>
      </c>
      <c r="S5" s="2">
        <f>ROUNDUP((Tabla1[[#This Row],[Total]]-Tabla1[[#This Row],[Columna1]]),0)</f>
        <v>3229</v>
      </c>
    </row>
    <row r="6" spans="1:19" x14ac:dyDescent="0.25">
      <c r="A6" s="1" t="s">
        <v>16</v>
      </c>
      <c r="B6" s="1">
        <v>1</v>
      </c>
      <c r="C6" s="1" t="s">
        <v>15</v>
      </c>
      <c r="D6" s="1" t="s">
        <v>32</v>
      </c>
      <c r="E6" s="3">
        <v>2369</v>
      </c>
      <c r="F6" s="2">
        <f t="shared" si="2"/>
        <v>2369</v>
      </c>
      <c r="G6" s="1">
        <v>0.7</v>
      </c>
      <c r="H6" s="2">
        <f t="shared" si="0"/>
        <v>1659</v>
      </c>
      <c r="I6" s="2">
        <f t="shared" si="1"/>
        <v>4028</v>
      </c>
      <c r="J6" s="1">
        <v>0.2</v>
      </c>
      <c r="K6" s="2">
        <f t="shared" si="3"/>
        <v>806</v>
      </c>
      <c r="L6" s="1">
        <v>10</v>
      </c>
      <c r="M6" s="2">
        <f t="shared" si="4"/>
        <v>323</v>
      </c>
      <c r="N6" s="2">
        <f t="shared" si="5"/>
        <v>4036</v>
      </c>
      <c r="O6" s="2">
        <f>Tabla1[[#This Row],[Costo Unitario]]*0.5+Tabla1[[#This Row],[Costo Unitario]]</f>
        <v>3553.5</v>
      </c>
      <c r="P6" s="2">
        <f>Tabla1[[#This Row],[Total]]/1.16</f>
        <v>3479.3103448275865</v>
      </c>
      <c r="Q6" s="2">
        <f>Tabla1[[#This Row],[Total]]-Tabla1[[#This Row],[SIN IVA]]</f>
        <v>556.6896551724135</v>
      </c>
      <c r="R6" s="2">
        <f>Tabla1[[#This Row],[Total]]*0.2</f>
        <v>807.2</v>
      </c>
      <c r="S6" s="2">
        <f>ROUNDUP((Tabla1[[#This Row],[Total]]-Tabla1[[#This Row],[Columna1]]),0)</f>
        <v>3229</v>
      </c>
    </row>
    <row r="7" spans="1:19" x14ac:dyDescent="0.25">
      <c r="A7" s="1" t="s">
        <v>17</v>
      </c>
      <c r="B7" s="1">
        <v>1</v>
      </c>
      <c r="C7" s="1" t="s">
        <v>11</v>
      </c>
      <c r="D7" s="1" t="s">
        <v>32</v>
      </c>
      <c r="E7" s="3">
        <v>2679</v>
      </c>
      <c r="F7" s="2">
        <f t="shared" si="2"/>
        <v>2679</v>
      </c>
      <c r="G7" s="1">
        <v>0.7</v>
      </c>
      <c r="H7" s="2">
        <f t="shared" si="0"/>
        <v>1876</v>
      </c>
      <c r="I7" s="2">
        <f t="shared" si="1"/>
        <v>4555</v>
      </c>
      <c r="J7" s="1">
        <v>0.2</v>
      </c>
      <c r="K7" s="2">
        <f t="shared" si="3"/>
        <v>911</v>
      </c>
      <c r="L7" s="1">
        <v>10</v>
      </c>
      <c r="M7" s="2">
        <f t="shared" si="4"/>
        <v>365</v>
      </c>
      <c r="N7" s="2">
        <f t="shared" si="5"/>
        <v>4561</v>
      </c>
      <c r="O7" s="2">
        <f>Tabla1[[#This Row],[Costo Unitario]]*0.5+Tabla1[[#This Row],[Costo Unitario]]</f>
        <v>4018.5</v>
      </c>
      <c r="P7" s="2">
        <f>Tabla1[[#This Row],[Total]]/1.16</f>
        <v>3931.8965517241381</v>
      </c>
      <c r="Q7" s="2">
        <f>Tabla1[[#This Row],[Total]]-Tabla1[[#This Row],[SIN IVA]]</f>
        <v>629.10344827586187</v>
      </c>
      <c r="R7" s="2">
        <f>Tabla1[[#This Row],[Total]]*0.2</f>
        <v>912.2</v>
      </c>
      <c r="S7" s="2">
        <f>ROUNDUP((Tabla1[[#This Row],[Total]]-Tabla1[[#This Row],[Columna1]]),0)</f>
        <v>3649</v>
      </c>
    </row>
    <row r="8" spans="1:19" x14ac:dyDescent="0.25">
      <c r="A8" s="1" t="s">
        <v>17</v>
      </c>
      <c r="B8" s="1">
        <v>1</v>
      </c>
      <c r="C8" s="1" t="s">
        <v>18</v>
      </c>
      <c r="D8" s="1" t="s">
        <v>32</v>
      </c>
      <c r="E8" s="3">
        <v>2679</v>
      </c>
      <c r="F8" s="2">
        <f t="shared" si="2"/>
        <v>2679</v>
      </c>
      <c r="G8" s="1">
        <v>0.7</v>
      </c>
      <c r="H8" s="2">
        <f t="shared" si="0"/>
        <v>1876</v>
      </c>
      <c r="I8" s="2">
        <f t="shared" si="1"/>
        <v>4555</v>
      </c>
      <c r="J8" s="1">
        <v>0.2</v>
      </c>
      <c r="K8" s="2">
        <f t="shared" si="3"/>
        <v>911</v>
      </c>
      <c r="L8" s="1">
        <v>10</v>
      </c>
      <c r="M8" s="2">
        <f t="shared" si="4"/>
        <v>365</v>
      </c>
      <c r="N8" s="2">
        <f t="shared" si="5"/>
        <v>4561</v>
      </c>
      <c r="O8" s="2">
        <f>Tabla1[[#This Row],[Costo Unitario]]*0.5+Tabla1[[#This Row],[Costo Unitario]]</f>
        <v>4018.5</v>
      </c>
      <c r="P8" s="2">
        <f>Tabla1[[#This Row],[Total]]/1.16</f>
        <v>3931.8965517241381</v>
      </c>
      <c r="Q8" s="2">
        <f>Tabla1[[#This Row],[Total]]-Tabla1[[#This Row],[SIN IVA]]</f>
        <v>629.10344827586187</v>
      </c>
      <c r="R8" s="2">
        <f>Tabla1[[#This Row],[Total]]*0.2</f>
        <v>912.2</v>
      </c>
      <c r="S8" s="2">
        <f>ROUNDUP((Tabla1[[#This Row],[Total]]-Tabla1[[#This Row],[Columna1]]),0)</f>
        <v>3649</v>
      </c>
    </row>
    <row r="9" spans="1:19" x14ac:dyDescent="0.25">
      <c r="A9" s="1" t="s">
        <v>19</v>
      </c>
      <c r="B9" s="1">
        <v>1</v>
      </c>
      <c r="C9" s="1" t="s">
        <v>20</v>
      </c>
      <c r="D9" s="1" t="s">
        <v>32</v>
      </c>
      <c r="E9" s="3">
        <v>1629</v>
      </c>
      <c r="F9" s="2">
        <f t="shared" si="2"/>
        <v>1629</v>
      </c>
      <c r="G9" s="1">
        <v>0.7</v>
      </c>
      <c r="H9" s="2">
        <f t="shared" si="0"/>
        <v>1141</v>
      </c>
      <c r="I9" s="2">
        <f t="shared" si="1"/>
        <v>2770</v>
      </c>
      <c r="J9" s="1">
        <v>0.2</v>
      </c>
      <c r="K9" s="2">
        <f t="shared" si="3"/>
        <v>554</v>
      </c>
      <c r="L9" s="1">
        <v>10</v>
      </c>
      <c r="M9" s="2">
        <f t="shared" si="4"/>
        <v>222</v>
      </c>
      <c r="N9" s="2">
        <f t="shared" si="5"/>
        <v>2774</v>
      </c>
      <c r="O9" s="2">
        <f>Tabla1[[#This Row],[Costo Unitario]]*0.5+Tabla1[[#This Row],[Costo Unitario]]</f>
        <v>2443.5</v>
      </c>
      <c r="P9" s="2">
        <f>Tabla1[[#This Row],[Total]]/1.16</f>
        <v>2391.3793103448279</v>
      </c>
      <c r="Q9" s="2">
        <f>Tabla1[[#This Row],[Total]]-Tabla1[[#This Row],[SIN IVA]]</f>
        <v>382.6206896551721</v>
      </c>
      <c r="R9" s="2">
        <f>Tabla1[[#This Row],[Total]]*0.2</f>
        <v>554.80000000000007</v>
      </c>
      <c r="S9" s="2">
        <f>ROUNDUP((Tabla1[[#This Row],[Total]]-Tabla1[[#This Row],[Columna1]]),0)</f>
        <v>2220</v>
      </c>
    </row>
    <row r="10" spans="1:19" x14ac:dyDescent="0.25">
      <c r="A10" s="1" t="s">
        <v>19</v>
      </c>
      <c r="B10" s="1">
        <v>1</v>
      </c>
      <c r="C10" s="1" t="s">
        <v>11</v>
      </c>
      <c r="D10" s="1" t="s">
        <v>32</v>
      </c>
      <c r="E10" s="3">
        <v>1629</v>
      </c>
      <c r="F10" s="2">
        <f t="shared" si="2"/>
        <v>1629</v>
      </c>
      <c r="G10" s="1">
        <v>0.7</v>
      </c>
      <c r="H10" s="2">
        <f t="shared" si="0"/>
        <v>1141</v>
      </c>
      <c r="I10" s="2">
        <f t="shared" si="1"/>
        <v>2770</v>
      </c>
      <c r="J10" s="1">
        <v>0.2</v>
      </c>
      <c r="K10" s="2">
        <f t="shared" si="3"/>
        <v>554</v>
      </c>
      <c r="L10" s="1">
        <v>10</v>
      </c>
      <c r="M10" s="2">
        <f t="shared" si="4"/>
        <v>222</v>
      </c>
      <c r="N10" s="2">
        <f t="shared" si="5"/>
        <v>2774</v>
      </c>
      <c r="O10" s="2">
        <f>Tabla1[[#This Row],[Costo Unitario]]*0.5+Tabla1[[#This Row],[Costo Unitario]]</f>
        <v>2443.5</v>
      </c>
      <c r="P10" s="2">
        <f>Tabla1[[#This Row],[Total]]/1.16</f>
        <v>2391.3793103448279</v>
      </c>
      <c r="Q10" s="2">
        <f>Tabla1[[#This Row],[Total]]-Tabla1[[#This Row],[SIN IVA]]</f>
        <v>382.6206896551721</v>
      </c>
      <c r="R10" s="2">
        <f>Tabla1[[#This Row],[Total]]*0.2</f>
        <v>554.80000000000007</v>
      </c>
      <c r="S10" s="2">
        <f>ROUNDUP((Tabla1[[#This Row],[Total]]-Tabla1[[#This Row],[Columna1]]),0)</f>
        <v>2220</v>
      </c>
    </row>
    <row r="11" spans="1:19" x14ac:dyDescent="0.25">
      <c r="A11" s="1" t="s">
        <v>21</v>
      </c>
      <c r="B11" s="1">
        <v>2</v>
      </c>
      <c r="C11" s="1" t="s">
        <v>82</v>
      </c>
      <c r="D11" s="1" t="s">
        <v>32</v>
      </c>
      <c r="E11" s="3">
        <v>2049</v>
      </c>
      <c r="F11" s="2">
        <f t="shared" si="2"/>
        <v>4098</v>
      </c>
      <c r="G11" s="1">
        <v>0.7</v>
      </c>
      <c r="H11" s="2">
        <f t="shared" si="0"/>
        <v>1435</v>
      </c>
      <c r="I11" s="2">
        <f t="shared" si="1"/>
        <v>3484</v>
      </c>
      <c r="J11" s="1">
        <v>0.2</v>
      </c>
      <c r="K11" s="2">
        <f t="shared" si="3"/>
        <v>697</v>
      </c>
      <c r="L11" s="1">
        <v>10</v>
      </c>
      <c r="M11" s="2">
        <f t="shared" si="4"/>
        <v>279</v>
      </c>
      <c r="N11" s="2">
        <f t="shared" si="5"/>
        <v>3487</v>
      </c>
      <c r="O11" s="2">
        <f>Tabla1[[#This Row],[Costo Unitario]]*0.5+Tabla1[[#This Row],[Costo Unitario]]</f>
        <v>3073.5</v>
      </c>
      <c r="P11" s="2">
        <f>Tabla1[[#This Row],[Total]]/1.16</f>
        <v>3006.0344827586209</v>
      </c>
      <c r="Q11" s="2">
        <f>Tabla1[[#This Row],[Total]]-Tabla1[[#This Row],[SIN IVA]]</f>
        <v>480.96551724137908</v>
      </c>
      <c r="R11" s="2">
        <f>Tabla1[[#This Row],[Total]]*0.2</f>
        <v>697.40000000000009</v>
      </c>
      <c r="S11" s="2">
        <f>ROUNDUP((Tabla1[[#This Row],[Total]]-Tabla1[[#This Row],[Columna1]]),0)</f>
        <v>2790</v>
      </c>
    </row>
    <row r="12" spans="1:19" x14ac:dyDescent="0.25">
      <c r="A12" s="1" t="s">
        <v>22</v>
      </c>
      <c r="B12" s="1">
        <v>2</v>
      </c>
      <c r="C12" s="1" t="s">
        <v>20</v>
      </c>
      <c r="D12" s="1" t="s">
        <v>32</v>
      </c>
      <c r="E12" s="3">
        <v>2129</v>
      </c>
      <c r="F12" s="2">
        <f t="shared" si="2"/>
        <v>4258</v>
      </c>
      <c r="G12" s="1">
        <v>0.7</v>
      </c>
      <c r="H12" s="2">
        <f t="shared" si="0"/>
        <v>1491</v>
      </c>
      <c r="I12" s="2">
        <f t="shared" si="1"/>
        <v>3620</v>
      </c>
      <c r="J12" s="1">
        <v>0.2</v>
      </c>
      <c r="K12" s="2">
        <f t="shared" si="3"/>
        <v>724</v>
      </c>
      <c r="L12" s="1">
        <v>10</v>
      </c>
      <c r="M12" s="2">
        <f t="shared" si="4"/>
        <v>290</v>
      </c>
      <c r="N12" s="2">
        <f t="shared" si="5"/>
        <v>3624</v>
      </c>
      <c r="O12" s="2">
        <f>Tabla1[[#This Row],[Costo Unitario]]*0.5+Tabla1[[#This Row],[Costo Unitario]]</f>
        <v>3193.5</v>
      </c>
      <c r="P12" s="2">
        <f>Tabla1[[#This Row],[Total]]/1.16</f>
        <v>3124.1379310344828</v>
      </c>
      <c r="Q12" s="2">
        <f>Tabla1[[#This Row],[Total]]-Tabla1[[#This Row],[SIN IVA]]</f>
        <v>499.86206896551721</v>
      </c>
      <c r="R12" s="2">
        <f>Tabla1[[#This Row],[Total]]*0.2</f>
        <v>724.80000000000007</v>
      </c>
      <c r="S12" s="2">
        <f>ROUNDUP((Tabla1[[#This Row],[Total]]-Tabla1[[#This Row],[Columna1]]),0)</f>
        <v>2900</v>
      </c>
    </row>
    <row r="13" spans="1:19" x14ac:dyDescent="0.25">
      <c r="A13" s="1" t="s">
        <v>25</v>
      </c>
      <c r="B13" s="6">
        <v>1</v>
      </c>
      <c r="C13" s="8" t="s">
        <v>33</v>
      </c>
      <c r="D13" s="1" t="s">
        <v>32</v>
      </c>
      <c r="E13" s="3">
        <v>2331</v>
      </c>
      <c r="F13" s="2">
        <f t="shared" si="2"/>
        <v>2331</v>
      </c>
      <c r="G13" s="1">
        <v>0.5</v>
      </c>
      <c r="H13" s="2">
        <f t="shared" si="0"/>
        <v>1166</v>
      </c>
      <c r="I13" s="2">
        <f t="shared" si="1"/>
        <v>3497</v>
      </c>
      <c r="J13" s="1">
        <v>0.2</v>
      </c>
      <c r="K13" s="2">
        <f t="shared" si="3"/>
        <v>700</v>
      </c>
      <c r="L13" s="1">
        <v>10</v>
      </c>
      <c r="M13" s="2">
        <f t="shared" si="4"/>
        <v>280</v>
      </c>
      <c r="N13" s="2">
        <f t="shared" si="5"/>
        <v>3500</v>
      </c>
      <c r="O13" s="2">
        <f>Tabla1[[#This Row],[Costo Unitario]]*0.5+Tabla1[[#This Row],[Costo Unitario]]</f>
        <v>3496.5</v>
      </c>
      <c r="P13" s="2">
        <f>Tabla1[[#This Row],[Total]]/1.16</f>
        <v>3017.2413793103451</v>
      </c>
      <c r="Q13" s="2">
        <f>Tabla1[[#This Row],[Total]]-Tabla1[[#This Row],[SIN IVA]]</f>
        <v>482.75862068965489</v>
      </c>
      <c r="R13" s="2">
        <f>Tabla1[[#This Row],[Total]]*0.2</f>
        <v>700</v>
      </c>
      <c r="S13" s="2">
        <f>ROUNDUP((Tabla1[[#This Row],[Total]]-Tabla1[[#This Row],[Columna1]]),0)</f>
        <v>2800</v>
      </c>
    </row>
    <row r="14" spans="1:19" x14ac:dyDescent="0.25">
      <c r="A14" s="1" t="s">
        <v>26</v>
      </c>
      <c r="B14" s="6"/>
      <c r="C14" s="8" t="s">
        <v>33</v>
      </c>
      <c r="D14" s="1"/>
      <c r="E14" s="3">
        <v>2423</v>
      </c>
      <c r="F14" s="2">
        <f t="shared" si="2"/>
        <v>0</v>
      </c>
      <c r="G14" s="1">
        <v>0.7</v>
      </c>
      <c r="H14" s="2">
        <f t="shared" si="0"/>
        <v>1697</v>
      </c>
      <c r="I14" s="2">
        <f t="shared" si="1"/>
        <v>4120</v>
      </c>
      <c r="J14" s="1">
        <v>0.2</v>
      </c>
      <c r="K14" s="2">
        <f t="shared" si="3"/>
        <v>824</v>
      </c>
      <c r="L14" s="1">
        <v>10</v>
      </c>
      <c r="M14" s="2">
        <f t="shared" si="4"/>
        <v>330</v>
      </c>
      <c r="N14" s="2">
        <f t="shared" si="5"/>
        <v>4124</v>
      </c>
      <c r="O14" s="2">
        <f>Tabla1[[#This Row],[Costo Unitario]]*0.5+Tabla1[[#This Row],[Costo Unitario]]</f>
        <v>3634.5</v>
      </c>
      <c r="P14" s="2">
        <f>Tabla1[[#This Row],[Total]]/1.16</f>
        <v>3555.1724137931037</v>
      </c>
      <c r="Q14" s="2">
        <f>Tabla1[[#This Row],[Total]]-Tabla1[[#This Row],[SIN IVA]]</f>
        <v>568.82758620689629</v>
      </c>
      <c r="R14" s="2">
        <f>Tabla1[[#This Row],[Total]]*0.2</f>
        <v>824.80000000000007</v>
      </c>
      <c r="S14" s="2">
        <f>ROUNDUP((Tabla1[[#This Row],[Total]]-Tabla1[[#This Row],[Columna1]]),0)</f>
        <v>3300</v>
      </c>
    </row>
    <row r="15" spans="1:19" x14ac:dyDescent="0.25">
      <c r="A15" s="1" t="s">
        <v>27</v>
      </c>
      <c r="B15" s="6"/>
      <c r="C15" s="8" t="s">
        <v>33</v>
      </c>
      <c r="D15" s="1"/>
      <c r="E15" s="3">
        <v>2299</v>
      </c>
      <c r="F15" s="2">
        <f t="shared" si="2"/>
        <v>0</v>
      </c>
      <c r="G15" s="1">
        <v>0.7</v>
      </c>
      <c r="H15" s="2">
        <f t="shared" si="0"/>
        <v>1610</v>
      </c>
      <c r="I15" s="2">
        <f t="shared" si="1"/>
        <v>3909</v>
      </c>
      <c r="J15" s="1">
        <v>0.2</v>
      </c>
      <c r="K15" s="2">
        <f t="shared" si="3"/>
        <v>782</v>
      </c>
      <c r="L15" s="1">
        <v>10</v>
      </c>
      <c r="M15" s="2">
        <f t="shared" si="4"/>
        <v>313</v>
      </c>
      <c r="N15" s="2">
        <f t="shared" si="5"/>
        <v>3912</v>
      </c>
      <c r="O15" s="2">
        <f>Tabla1[[#This Row],[Costo Unitario]]*0.5+Tabla1[[#This Row],[Costo Unitario]]</f>
        <v>3448.5</v>
      </c>
      <c r="P15" s="2">
        <f>Tabla1[[#This Row],[Total]]/1.16</f>
        <v>3372.4137931034484</v>
      </c>
      <c r="Q15" s="2">
        <f>Tabla1[[#This Row],[Total]]-Tabla1[[#This Row],[SIN IVA]]</f>
        <v>539.58620689655163</v>
      </c>
      <c r="R15" s="2">
        <f>Tabla1[[#This Row],[Total]]*0.2</f>
        <v>782.40000000000009</v>
      </c>
      <c r="S15" s="2">
        <f>ROUNDUP((Tabla1[[#This Row],[Total]]-Tabla1[[#This Row],[Columna1]]),0)</f>
        <v>3130</v>
      </c>
    </row>
    <row r="16" spans="1:19" x14ac:dyDescent="0.25">
      <c r="A16" s="1" t="s">
        <v>28</v>
      </c>
      <c r="B16" s="6">
        <v>1</v>
      </c>
      <c r="C16" s="8" t="s">
        <v>33</v>
      </c>
      <c r="D16" s="1" t="s">
        <v>32</v>
      </c>
      <c r="E16" s="3">
        <v>1734</v>
      </c>
      <c r="F16" s="2">
        <f t="shared" ref="F16:F24" si="6">E16*B16</f>
        <v>1734</v>
      </c>
      <c r="G16" s="1">
        <v>0.7</v>
      </c>
      <c r="H16" s="2">
        <f t="shared" ref="H16:H24" si="7">ROUNDUP(E16*G16,0)</f>
        <v>1214</v>
      </c>
      <c r="I16" s="2">
        <f t="shared" ref="I16:I24" si="8">E16+H16</f>
        <v>2948</v>
      </c>
      <c r="J16" s="1">
        <v>0.2</v>
      </c>
      <c r="K16" s="2">
        <f t="shared" ref="K16:K24" si="9">ROUNDUP(J16*I16,0)</f>
        <v>590</v>
      </c>
      <c r="L16" s="1">
        <v>10</v>
      </c>
      <c r="M16" s="2">
        <f t="shared" ref="M16:M24" si="10">ROUNDUP((I16-K16)/L16,0)</f>
        <v>236</v>
      </c>
      <c r="N16" s="2">
        <f t="shared" ref="N16:N24" si="11">K16+(M16*L16)</f>
        <v>2950</v>
      </c>
      <c r="O16" s="2">
        <f>Tabla1[[#This Row],[Costo Unitario]]*0.5+Tabla1[[#This Row],[Costo Unitario]]</f>
        <v>2601</v>
      </c>
      <c r="P16" s="2">
        <f>Tabla1[[#This Row],[Total]]/1.16</f>
        <v>2543.1034482758623</v>
      </c>
      <c r="Q16" s="2">
        <f>Tabla1[[#This Row],[Total]]-Tabla1[[#This Row],[SIN IVA]]</f>
        <v>406.89655172413768</v>
      </c>
      <c r="R16" s="2">
        <f>Tabla1[[#This Row],[Total]]*0.2</f>
        <v>590</v>
      </c>
      <c r="S16" s="2">
        <f>ROUNDUP((Tabla1[[#This Row],[Total]]-Tabla1[[#This Row],[Columna1]]),0)</f>
        <v>2360</v>
      </c>
    </row>
    <row r="17" spans="1:19" x14ac:dyDescent="0.25">
      <c r="A17" s="1" t="s">
        <v>29</v>
      </c>
      <c r="B17" s="6"/>
      <c r="C17" s="8" t="s">
        <v>33</v>
      </c>
      <c r="D17" s="1"/>
      <c r="E17" s="3">
        <v>1899</v>
      </c>
      <c r="F17" s="2">
        <f t="shared" si="6"/>
        <v>0</v>
      </c>
      <c r="G17" s="1">
        <v>0.7</v>
      </c>
      <c r="H17" s="2">
        <f t="shared" si="7"/>
        <v>1330</v>
      </c>
      <c r="I17" s="2">
        <f t="shared" si="8"/>
        <v>3229</v>
      </c>
      <c r="J17" s="1">
        <v>0.2</v>
      </c>
      <c r="K17" s="2">
        <f t="shared" si="9"/>
        <v>646</v>
      </c>
      <c r="L17" s="1">
        <v>10</v>
      </c>
      <c r="M17" s="2">
        <f t="shared" si="10"/>
        <v>259</v>
      </c>
      <c r="N17" s="2">
        <f t="shared" si="11"/>
        <v>3236</v>
      </c>
      <c r="O17" s="2">
        <f>Tabla1[[#This Row],[Costo Unitario]]*0.5+Tabla1[[#This Row],[Costo Unitario]]</f>
        <v>2848.5</v>
      </c>
      <c r="P17" s="2">
        <f>Tabla1[[#This Row],[Total]]/1.16</f>
        <v>2789.6551724137935</v>
      </c>
      <c r="Q17" s="2">
        <f>Tabla1[[#This Row],[Total]]-Tabla1[[#This Row],[SIN IVA]]</f>
        <v>446.34482758620652</v>
      </c>
      <c r="R17" s="2">
        <f>Tabla1[[#This Row],[Total]]*0.2</f>
        <v>647.20000000000005</v>
      </c>
      <c r="S17" s="2">
        <f>ROUNDUP((Tabla1[[#This Row],[Total]]-Tabla1[[#This Row],[Columna1]]),0)</f>
        <v>2589</v>
      </c>
    </row>
    <row r="18" spans="1:19" x14ac:dyDescent="0.25">
      <c r="A18" s="1" t="s">
        <v>31</v>
      </c>
      <c r="B18" s="6">
        <v>1</v>
      </c>
      <c r="C18" s="8" t="s">
        <v>33</v>
      </c>
      <c r="D18" s="1" t="s">
        <v>32</v>
      </c>
      <c r="E18" s="3">
        <v>2362</v>
      </c>
      <c r="F18" s="2">
        <f t="shared" si="6"/>
        <v>2362</v>
      </c>
      <c r="G18" s="1">
        <v>0.7</v>
      </c>
      <c r="H18" s="2">
        <f t="shared" si="7"/>
        <v>1654</v>
      </c>
      <c r="I18" s="2">
        <f t="shared" si="8"/>
        <v>4016</v>
      </c>
      <c r="J18" s="1">
        <v>0.2</v>
      </c>
      <c r="K18" s="2">
        <f t="shared" si="9"/>
        <v>804</v>
      </c>
      <c r="L18" s="1">
        <v>10</v>
      </c>
      <c r="M18" s="2">
        <f t="shared" si="10"/>
        <v>322</v>
      </c>
      <c r="N18" s="2">
        <f t="shared" si="11"/>
        <v>4024</v>
      </c>
      <c r="O18" s="2">
        <f>Tabla1[[#This Row],[Costo Unitario]]*0.5+Tabla1[[#This Row],[Costo Unitario]]</f>
        <v>3543</v>
      </c>
      <c r="P18" s="2">
        <f>Tabla1[[#This Row],[Total]]/1.16</f>
        <v>3468.9655172413795</v>
      </c>
      <c r="Q18" s="2">
        <f>Tabla1[[#This Row],[Total]]-Tabla1[[#This Row],[SIN IVA]]</f>
        <v>555.03448275862047</v>
      </c>
      <c r="R18" s="2">
        <f>Tabla1[[#This Row],[Total]]*0.2</f>
        <v>804.80000000000007</v>
      </c>
      <c r="S18" s="2">
        <f>ROUNDUP((Tabla1[[#This Row],[Total]]-Tabla1[[#This Row],[Columna1]]),0)</f>
        <v>3220</v>
      </c>
    </row>
    <row r="19" spans="1:19" x14ac:dyDescent="0.25">
      <c r="A19" s="1" t="s">
        <v>30</v>
      </c>
      <c r="B19" s="6">
        <v>9</v>
      </c>
      <c r="C19" s="8" t="s">
        <v>33</v>
      </c>
      <c r="D19" s="1" t="s">
        <v>32</v>
      </c>
      <c r="E19" s="3">
        <v>500</v>
      </c>
      <c r="F19" s="2">
        <f t="shared" si="6"/>
        <v>4500</v>
      </c>
      <c r="G19" s="1">
        <v>0.7</v>
      </c>
      <c r="H19" s="2">
        <f t="shared" si="7"/>
        <v>350</v>
      </c>
      <c r="I19" s="2">
        <f t="shared" si="8"/>
        <v>850</v>
      </c>
      <c r="J19" s="1">
        <v>0.2</v>
      </c>
      <c r="K19" s="2">
        <f t="shared" si="9"/>
        <v>170</v>
      </c>
      <c r="L19" s="1">
        <v>10</v>
      </c>
      <c r="M19" s="2">
        <f t="shared" si="10"/>
        <v>68</v>
      </c>
      <c r="N19" s="2">
        <f t="shared" si="11"/>
        <v>850</v>
      </c>
      <c r="O19" s="2">
        <f>Tabla1[[#This Row],[Costo Unitario]]*0.5+Tabla1[[#This Row],[Costo Unitario]]</f>
        <v>750</v>
      </c>
      <c r="P19" s="2">
        <f>Tabla1[[#This Row],[Total]]/1.16</f>
        <v>732.75862068965523</v>
      </c>
      <c r="Q19" s="2">
        <f>Tabla1[[#This Row],[Total]]-Tabla1[[#This Row],[SIN IVA]]</f>
        <v>117.24137931034477</v>
      </c>
      <c r="R19" s="2">
        <f>Tabla1[[#This Row],[Total]]*0.2</f>
        <v>170</v>
      </c>
      <c r="S19" s="2">
        <f>ROUNDUP((Tabla1[[#This Row],[Total]]-Tabla1[[#This Row],[Columna1]]),0)</f>
        <v>680</v>
      </c>
    </row>
    <row r="20" spans="1:19" x14ac:dyDescent="0.25">
      <c r="A20" t="s">
        <v>101</v>
      </c>
      <c r="B20">
        <v>5</v>
      </c>
      <c r="D20" t="s">
        <v>102</v>
      </c>
      <c r="E20" s="3">
        <v>2800</v>
      </c>
      <c r="F20" s="2">
        <f t="shared" si="6"/>
        <v>14000</v>
      </c>
      <c r="G20" s="1">
        <v>0.8</v>
      </c>
      <c r="H20" s="2">
        <f t="shared" si="7"/>
        <v>2240</v>
      </c>
      <c r="I20" s="2">
        <f t="shared" si="8"/>
        <v>5040</v>
      </c>
      <c r="J20" s="1">
        <v>0.3</v>
      </c>
      <c r="K20" s="2">
        <f t="shared" si="9"/>
        <v>1512</v>
      </c>
      <c r="L20" s="1">
        <v>10</v>
      </c>
      <c r="M20" s="2">
        <f t="shared" si="10"/>
        <v>353</v>
      </c>
      <c r="N20" s="2">
        <f t="shared" si="11"/>
        <v>5042</v>
      </c>
      <c r="O20" s="2">
        <f>Tabla1[[#This Row],[Costo Unitario]]*0.5+Tabla1[[#This Row],[Costo Unitario]]</f>
        <v>4200</v>
      </c>
      <c r="P20" s="2">
        <f>Tabla1[[#This Row],[Total]]/1.16</f>
        <v>4346.5517241379312</v>
      </c>
      <c r="Q20" s="2">
        <f>Tabla1[[#This Row],[Total]]-Tabla1[[#This Row],[SIN IVA]]</f>
        <v>695.44827586206884</v>
      </c>
      <c r="R20" s="2">
        <f>Tabla1[[#This Row],[Total]]*0.2</f>
        <v>1008.4000000000001</v>
      </c>
      <c r="S20" s="2">
        <f>ROUNDUP((Tabla1[[#This Row],[Total]]-Tabla1[[#This Row],[Columna1]]),0)</f>
        <v>4034</v>
      </c>
    </row>
    <row r="21" spans="1:19" x14ac:dyDescent="0.25">
      <c r="A21" t="s">
        <v>104</v>
      </c>
      <c r="B21">
        <v>1</v>
      </c>
      <c r="E21" s="3">
        <v>1638</v>
      </c>
      <c r="F21" s="2">
        <f t="shared" si="6"/>
        <v>1638</v>
      </c>
      <c r="G21" s="1">
        <v>0.7</v>
      </c>
      <c r="H21" s="2">
        <f t="shared" si="7"/>
        <v>1147</v>
      </c>
      <c r="I21" s="2">
        <f t="shared" si="8"/>
        <v>2785</v>
      </c>
      <c r="J21" s="1">
        <v>0.2</v>
      </c>
      <c r="K21" s="2">
        <f t="shared" si="9"/>
        <v>557</v>
      </c>
      <c r="L21" s="1">
        <v>10</v>
      </c>
      <c r="M21" s="2">
        <f t="shared" si="10"/>
        <v>223</v>
      </c>
      <c r="N21" s="2">
        <f t="shared" si="11"/>
        <v>2787</v>
      </c>
      <c r="O21" s="2">
        <f>Tabla1[[#This Row],[Costo Unitario]]*0.5+Tabla1[[#This Row],[Costo Unitario]]</f>
        <v>2457</v>
      </c>
      <c r="P21" s="2">
        <f>Tabla1[[#This Row],[Total]]/1.16</f>
        <v>2402.5862068965521</v>
      </c>
      <c r="Q21" s="2">
        <f>Tabla1[[#This Row],[Total]]-Tabla1[[#This Row],[SIN IVA]]</f>
        <v>384.41379310344792</v>
      </c>
      <c r="R21" s="2">
        <f>Tabla1[[#This Row],[Total]]*0.2</f>
        <v>557.4</v>
      </c>
      <c r="S21" s="2">
        <f>ROUNDUP((Tabla1[[#This Row],[Total]]-Tabla1[[#This Row],[Columna1]]),0)</f>
        <v>2230</v>
      </c>
    </row>
    <row r="22" spans="1:19" x14ac:dyDescent="0.25">
      <c r="A22" t="s">
        <v>107</v>
      </c>
      <c r="B22">
        <v>1</v>
      </c>
      <c r="E22" s="3">
        <v>1492</v>
      </c>
      <c r="F22" s="2">
        <f t="shared" si="6"/>
        <v>1492</v>
      </c>
      <c r="G22" s="1">
        <v>0.7</v>
      </c>
      <c r="H22" s="2">
        <f t="shared" si="7"/>
        <v>1045</v>
      </c>
      <c r="I22" s="2">
        <f t="shared" si="8"/>
        <v>2537</v>
      </c>
      <c r="J22" s="1">
        <v>0.2</v>
      </c>
      <c r="K22" s="2">
        <f t="shared" si="9"/>
        <v>508</v>
      </c>
      <c r="L22" s="1">
        <v>10</v>
      </c>
      <c r="M22" s="2">
        <f t="shared" si="10"/>
        <v>203</v>
      </c>
      <c r="N22" s="2">
        <f t="shared" si="11"/>
        <v>2538</v>
      </c>
      <c r="O22" s="2">
        <f>Tabla1[[#This Row],[Costo Unitario]]*0.5+Tabla1[[#This Row],[Costo Unitario]]</f>
        <v>2238</v>
      </c>
      <c r="P22" s="2">
        <f>Tabla1[[#This Row],[Total]]/1.16</f>
        <v>2187.9310344827586</v>
      </c>
      <c r="Q22" s="2">
        <f>Tabla1[[#This Row],[Total]]-Tabla1[[#This Row],[SIN IVA]]</f>
        <v>350.06896551724139</v>
      </c>
      <c r="R22" s="2">
        <f>Tabla1[[#This Row],[Total]]*0.2</f>
        <v>507.6</v>
      </c>
      <c r="S22" s="2">
        <f>ROUNDUP((Tabla1[[#This Row],[Total]]-Tabla1[[#This Row],[Columna1]]),0)</f>
        <v>2031</v>
      </c>
    </row>
    <row r="23" spans="1:19" x14ac:dyDescent="0.25">
      <c r="A23" t="s">
        <v>108</v>
      </c>
      <c r="B23">
        <v>1</v>
      </c>
      <c r="E23" s="3">
        <v>1492</v>
      </c>
      <c r="F23" s="2">
        <f t="shared" si="6"/>
        <v>1492</v>
      </c>
      <c r="G23" s="1">
        <v>0.7</v>
      </c>
      <c r="H23" s="2">
        <f t="shared" si="7"/>
        <v>1045</v>
      </c>
      <c r="I23" s="2">
        <f t="shared" si="8"/>
        <v>2537</v>
      </c>
      <c r="J23" s="1">
        <v>0.2</v>
      </c>
      <c r="K23" s="2">
        <f t="shared" si="9"/>
        <v>508</v>
      </c>
      <c r="L23" s="1">
        <v>10</v>
      </c>
      <c r="M23" s="2">
        <f t="shared" si="10"/>
        <v>203</v>
      </c>
      <c r="N23" s="2">
        <f t="shared" si="11"/>
        <v>2538</v>
      </c>
      <c r="O23" s="2">
        <f>Tabla1[[#This Row],[Costo Unitario]]*0.5+Tabla1[[#This Row],[Costo Unitario]]</f>
        <v>2238</v>
      </c>
      <c r="P23" s="2">
        <f>Tabla1[[#This Row],[Total]]/1.16</f>
        <v>2187.9310344827586</v>
      </c>
      <c r="Q23" s="2">
        <f>Tabla1[[#This Row],[Total]]-Tabla1[[#This Row],[SIN IVA]]</f>
        <v>350.06896551724139</v>
      </c>
      <c r="R23" s="2">
        <f>Tabla1[[#This Row],[Total]]*0.2</f>
        <v>507.6</v>
      </c>
      <c r="S23" s="2">
        <f>ROUNDUP((Tabla1[[#This Row],[Total]]-Tabla1[[#This Row],[Columna1]]),0)</f>
        <v>2031</v>
      </c>
    </row>
    <row r="24" spans="1:19" x14ac:dyDescent="0.25">
      <c r="A24" t="s">
        <v>109</v>
      </c>
      <c r="B24">
        <v>1</v>
      </c>
      <c r="E24" s="3">
        <v>2429</v>
      </c>
      <c r="F24" s="2">
        <f t="shared" si="6"/>
        <v>2429</v>
      </c>
      <c r="G24" s="1">
        <v>0.7</v>
      </c>
      <c r="H24" s="2">
        <f t="shared" si="7"/>
        <v>1701</v>
      </c>
      <c r="I24" s="2">
        <f t="shared" si="8"/>
        <v>4130</v>
      </c>
      <c r="J24" s="1">
        <v>0.2</v>
      </c>
      <c r="K24" s="2">
        <f t="shared" si="9"/>
        <v>826</v>
      </c>
      <c r="L24" s="1">
        <v>10</v>
      </c>
      <c r="M24" s="2">
        <f t="shared" si="10"/>
        <v>331</v>
      </c>
      <c r="N24" s="2">
        <f t="shared" si="11"/>
        <v>4136</v>
      </c>
      <c r="O24" s="2">
        <f>Tabla1[[#This Row],[Costo Unitario]]*0.5+Tabla1[[#This Row],[Costo Unitario]]</f>
        <v>3643.5</v>
      </c>
      <c r="P24" s="2">
        <f>Tabla1[[#This Row],[Total]]/1.16</f>
        <v>3565.5172413793107</v>
      </c>
      <c r="Q24" s="2">
        <f>Tabla1[[#This Row],[Total]]-Tabla1[[#This Row],[SIN IVA]]</f>
        <v>570.48275862068931</v>
      </c>
      <c r="R24" s="2">
        <f>Tabla1[[#This Row],[Total]]*0.2</f>
        <v>827.2</v>
      </c>
      <c r="S24" s="2">
        <f>ROUNDUP((Tabla1[[#This Row],[Total]]-Tabla1[[#This Row],[Columna1]]),0)</f>
        <v>3309</v>
      </c>
    </row>
    <row r="25" spans="1:19" x14ac:dyDescent="0.25">
      <c r="A25" t="s">
        <v>110</v>
      </c>
      <c r="B25">
        <v>1</v>
      </c>
      <c r="E25" s="3">
        <v>2119</v>
      </c>
      <c r="F25" s="2">
        <f t="shared" ref="F25:F34" si="12">E25*B25</f>
        <v>2119</v>
      </c>
      <c r="G25" s="1">
        <v>0.7</v>
      </c>
      <c r="H25" s="2">
        <f t="shared" ref="H25:H34" si="13">ROUNDUP(E25*G25,0)</f>
        <v>1484</v>
      </c>
      <c r="I25" s="2">
        <f t="shared" ref="I25:I34" si="14">E25+H25</f>
        <v>3603</v>
      </c>
      <c r="J25" s="1">
        <v>0.2</v>
      </c>
      <c r="K25" s="2">
        <f t="shared" ref="K25:K34" si="15">ROUNDUP(J25*I25,0)</f>
        <v>721</v>
      </c>
      <c r="L25" s="1">
        <v>10</v>
      </c>
      <c r="M25" s="2">
        <f t="shared" ref="M25:M34" si="16">ROUNDUP((I25-K25)/L25,0)</f>
        <v>289</v>
      </c>
      <c r="N25" s="2">
        <f t="shared" ref="N25:N34" si="17">K25+(M25*L25)</f>
        <v>3611</v>
      </c>
      <c r="O25" s="2">
        <f>Tabla1[[#This Row],[Costo Unitario]]*0.5+Tabla1[[#This Row],[Costo Unitario]]</f>
        <v>3178.5</v>
      </c>
      <c r="P25" s="2">
        <f>Tabla1[[#This Row],[Total]]/1.16</f>
        <v>3112.9310344827591</v>
      </c>
      <c r="Q25" s="2">
        <f>Tabla1[[#This Row],[Total]]-Tabla1[[#This Row],[SIN IVA]]</f>
        <v>498.06896551724094</v>
      </c>
      <c r="R25" s="2">
        <f>Tabla1[[#This Row],[Total]]*0.2</f>
        <v>722.2</v>
      </c>
      <c r="S25" s="2">
        <f>ROUNDUP((Tabla1[[#This Row],[Total]]-Tabla1[[#This Row],[Columna1]]),0)</f>
        <v>2889</v>
      </c>
    </row>
    <row r="26" spans="1:19" x14ac:dyDescent="0.25">
      <c r="A26" t="s">
        <v>111</v>
      </c>
      <c r="B26">
        <v>1</v>
      </c>
      <c r="E26" s="3">
        <v>6988</v>
      </c>
      <c r="F26" s="2">
        <f t="shared" si="12"/>
        <v>6988</v>
      </c>
      <c r="G26" s="1">
        <v>0.4</v>
      </c>
      <c r="H26" s="2">
        <f t="shared" si="13"/>
        <v>2796</v>
      </c>
      <c r="I26" s="2">
        <f t="shared" si="14"/>
        <v>9784</v>
      </c>
      <c r="J26" s="1">
        <v>0.15</v>
      </c>
      <c r="K26" s="2">
        <f t="shared" si="15"/>
        <v>1468</v>
      </c>
      <c r="L26" s="1">
        <v>10</v>
      </c>
      <c r="M26" s="2">
        <f t="shared" si="16"/>
        <v>832</v>
      </c>
      <c r="N26" s="2">
        <f t="shared" si="17"/>
        <v>9788</v>
      </c>
      <c r="O26" s="2">
        <f>Tabla1[[#This Row],[Costo Unitario]]*0.5+Tabla1[[#This Row],[Costo Unitario]]</f>
        <v>10482</v>
      </c>
      <c r="P26" s="2">
        <f>Tabla1[[#This Row],[Total]]/1.16</f>
        <v>8437.9310344827591</v>
      </c>
      <c r="Q26" s="2">
        <f>Tabla1[[#This Row],[Total]]-Tabla1[[#This Row],[SIN IVA]]</f>
        <v>1350.0689655172409</v>
      </c>
      <c r="R26" s="2">
        <f>Tabla1[[#This Row],[Total]]*0.2</f>
        <v>1957.6000000000001</v>
      </c>
      <c r="S26" s="2">
        <f>ROUNDUP((Tabla1[[#This Row],[Total]]-Tabla1[[#This Row],[Columna1]]),0)</f>
        <v>7831</v>
      </c>
    </row>
    <row r="27" spans="1:19" x14ac:dyDescent="0.25">
      <c r="E27" s="3"/>
      <c r="F27" s="2">
        <f t="shared" si="12"/>
        <v>0</v>
      </c>
      <c r="G27" s="1">
        <v>0.7</v>
      </c>
      <c r="H27" s="2">
        <f t="shared" si="13"/>
        <v>0</v>
      </c>
      <c r="I27" s="2">
        <f t="shared" si="14"/>
        <v>0</v>
      </c>
      <c r="J27" s="1">
        <v>0.2</v>
      </c>
      <c r="K27" s="2">
        <f t="shared" si="15"/>
        <v>0</v>
      </c>
      <c r="L27" s="1">
        <v>10</v>
      </c>
      <c r="M27" s="2">
        <f t="shared" si="16"/>
        <v>0</v>
      </c>
      <c r="N27" s="2">
        <f t="shared" si="17"/>
        <v>0</v>
      </c>
      <c r="O27" s="2">
        <f>Tabla1[[#This Row],[Costo Unitario]]*0.5+Tabla1[[#This Row],[Costo Unitario]]</f>
        <v>0</v>
      </c>
      <c r="P27" s="2">
        <f>Tabla1[[#This Row],[Total]]/1.16</f>
        <v>0</v>
      </c>
      <c r="Q27" s="2">
        <f>Tabla1[[#This Row],[Total]]-Tabla1[[#This Row],[SIN IVA]]</f>
        <v>0</v>
      </c>
      <c r="R27" s="2">
        <f>Tabla1[[#This Row],[Total]]*0.2</f>
        <v>0</v>
      </c>
      <c r="S27" s="2">
        <f>ROUNDUP((Tabla1[[#This Row],[Total]]-Tabla1[[#This Row],[Columna1]]),0)</f>
        <v>0</v>
      </c>
    </row>
    <row r="28" spans="1:19" x14ac:dyDescent="0.25">
      <c r="E28" s="3"/>
      <c r="F28" s="2">
        <f t="shared" si="12"/>
        <v>0</v>
      </c>
      <c r="G28" s="1">
        <v>0.7</v>
      </c>
      <c r="H28" s="2">
        <f t="shared" si="13"/>
        <v>0</v>
      </c>
      <c r="I28" s="2">
        <f t="shared" si="14"/>
        <v>0</v>
      </c>
      <c r="J28" s="1">
        <v>0.2</v>
      </c>
      <c r="K28" s="2">
        <f t="shared" si="15"/>
        <v>0</v>
      </c>
      <c r="L28" s="1">
        <v>10</v>
      </c>
      <c r="M28" s="2">
        <f t="shared" si="16"/>
        <v>0</v>
      </c>
      <c r="N28" s="2">
        <f t="shared" si="17"/>
        <v>0</v>
      </c>
      <c r="O28" s="2">
        <f>Tabla1[[#This Row],[Costo Unitario]]*0.5+Tabla1[[#This Row],[Costo Unitario]]</f>
        <v>0</v>
      </c>
      <c r="P28" s="2">
        <f>Tabla1[[#This Row],[Total]]/1.16</f>
        <v>0</v>
      </c>
      <c r="Q28" s="2">
        <f>Tabla1[[#This Row],[Total]]-Tabla1[[#This Row],[SIN IVA]]</f>
        <v>0</v>
      </c>
      <c r="R28" s="2">
        <f>Tabla1[[#This Row],[Total]]*0.2</f>
        <v>0</v>
      </c>
      <c r="S28" s="2">
        <f>ROUNDUP((Tabla1[[#This Row],[Total]]-Tabla1[[#This Row],[Columna1]]),0)</f>
        <v>0</v>
      </c>
    </row>
    <row r="29" spans="1:19" x14ac:dyDescent="0.25">
      <c r="E29" s="3"/>
      <c r="F29" s="2">
        <f t="shared" si="12"/>
        <v>0</v>
      </c>
      <c r="G29" s="1">
        <v>0.7</v>
      </c>
      <c r="H29" s="2">
        <f t="shared" si="13"/>
        <v>0</v>
      </c>
      <c r="I29" s="2">
        <f t="shared" si="14"/>
        <v>0</v>
      </c>
      <c r="J29" s="1">
        <v>0.2</v>
      </c>
      <c r="K29" s="2">
        <f t="shared" si="15"/>
        <v>0</v>
      </c>
      <c r="L29" s="1">
        <v>10</v>
      </c>
      <c r="M29" s="2">
        <f t="shared" si="16"/>
        <v>0</v>
      </c>
      <c r="N29" s="2">
        <f t="shared" si="17"/>
        <v>0</v>
      </c>
      <c r="O29" s="2">
        <f>Tabla1[[#This Row],[Costo Unitario]]*0.5+Tabla1[[#This Row],[Costo Unitario]]</f>
        <v>0</v>
      </c>
      <c r="P29" s="2">
        <f>Tabla1[[#This Row],[Total]]/1.16</f>
        <v>0</v>
      </c>
      <c r="Q29" s="2">
        <f>Tabla1[[#This Row],[Total]]-Tabla1[[#This Row],[SIN IVA]]</f>
        <v>0</v>
      </c>
      <c r="R29" s="2">
        <f>Tabla1[[#This Row],[Total]]*0.2</f>
        <v>0</v>
      </c>
      <c r="S29" s="2">
        <f>ROUNDUP((Tabla1[[#This Row],[Total]]-Tabla1[[#This Row],[Columna1]]),0)</f>
        <v>0</v>
      </c>
    </row>
    <row r="30" spans="1:19" x14ac:dyDescent="0.25">
      <c r="E30" s="3"/>
      <c r="F30" s="2">
        <f t="shared" si="12"/>
        <v>0</v>
      </c>
      <c r="G30" s="1">
        <v>0.7</v>
      </c>
      <c r="H30" s="2">
        <f t="shared" si="13"/>
        <v>0</v>
      </c>
      <c r="I30" s="2">
        <f t="shared" si="14"/>
        <v>0</v>
      </c>
      <c r="J30" s="1">
        <v>0.2</v>
      </c>
      <c r="K30" s="2">
        <f t="shared" si="15"/>
        <v>0</v>
      </c>
      <c r="L30" s="1">
        <v>10</v>
      </c>
      <c r="M30" s="2">
        <f t="shared" si="16"/>
        <v>0</v>
      </c>
      <c r="N30" s="2">
        <f t="shared" si="17"/>
        <v>0</v>
      </c>
      <c r="O30" s="2">
        <f>Tabla1[[#This Row],[Costo Unitario]]*0.5+Tabla1[[#This Row],[Costo Unitario]]</f>
        <v>0</v>
      </c>
      <c r="P30" s="2">
        <f>Tabla1[[#This Row],[Total]]/1.16</f>
        <v>0</v>
      </c>
      <c r="Q30" s="2">
        <f>Tabla1[[#This Row],[Total]]-Tabla1[[#This Row],[SIN IVA]]</f>
        <v>0</v>
      </c>
      <c r="R30" s="2">
        <f>Tabla1[[#This Row],[Total]]*0.2</f>
        <v>0</v>
      </c>
      <c r="S30" s="2">
        <f>ROUNDUP((Tabla1[[#This Row],[Total]]-Tabla1[[#This Row],[Columna1]]),0)</f>
        <v>0</v>
      </c>
    </row>
    <row r="31" spans="1:19" x14ac:dyDescent="0.25">
      <c r="E31" s="3"/>
      <c r="F31" s="2">
        <f t="shared" si="12"/>
        <v>0</v>
      </c>
      <c r="G31" s="1">
        <v>0.7</v>
      </c>
      <c r="H31" s="2">
        <f t="shared" si="13"/>
        <v>0</v>
      </c>
      <c r="I31" s="2">
        <f t="shared" si="14"/>
        <v>0</v>
      </c>
      <c r="J31" s="1">
        <v>0.2</v>
      </c>
      <c r="K31" s="2">
        <f t="shared" si="15"/>
        <v>0</v>
      </c>
      <c r="L31" s="1">
        <v>10</v>
      </c>
      <c r="M31" s="2">
        <f t="shared" si="16"/>
        <v>0</v>
      </c>
      <c r="N31" s="2">
        <f t="shared" si="17"/>
        <v>0</v>
      </c>
      <c r="O31" s="2">
        <f>Tabla1[[#This Row],[Costo Unitario]]*0.5+Tabla1[[#This Row],[Costo Unitario]]</f>
        <v>0</v>
      </c>
      <c r="P31" s="2">
        <f>Tabla1[[#This Row],[Total]]/1.16</f>
        <v>0</v>
      </c>
      <c r="Q31" s="2">
        <f>Tabla1[[#This Row],[Total]]-Tabla1[[#This Row],[SIN IVA]]</f>
        <v>0</v>
      </c>
      <c r="R31" s="2">
        <f>Tabla1[[#This Row],[Total]]*0.2</f>
        <v>0</v>
      </c>
      <c r="S31" s="2">
        <f>ROUNDUP((Tabla1[[#This Row],[Total]]-Tabla1[[#This Row],[Columna1]]),0)</f>
        <v>0</v>
      </c>
    </row>
    <row r="32" spans="1:19" x14ac:dyDescent="0.25">
      <c r="E32" s="3"/>
      <c r="F32" s="2">
        <f t="shared" si="12"/>
        <v>0</v>
      </c>
      <c r="G32" s="1">
        <v>0.7</v>
      </c>
      <c r="H32" s="2">
        <f t="shared" si="13"/>
        <v>0</v>
      </c>
      <c r="I32" s="2">
        <f t="shared" si="14"/>
        <v>0</v>
      </c>
      <c r="J32" s="1">
        <v>0.2</v>
      </c>
      <c r="K32" s="2">
        <f t="shared" si="15"/>
        <v>0</v>
      </c>
      <c r="L32" s="1">
        <v>10</v>
      </c>
      <c r="M32" s="2">
        <f t="shared" si="16"/>
        <v>0</v>
      </c>
      <c r="N32" s="2">
        <f t="shared" si="17"/>
        <v>0</v>
      </c>
      <c r="O32" s="2">
        <f>Tabla1[[#This Row],[Costo Unitario]]*0.5+Tabla1[[#This Row],[Costo Unitario]]</f>
        <v>0</v>
      </c>
      <c r="P32" s="2">
        <f>Tabla1[[#This Row],[Total]]/1.16</f>
        <v>0</v>
      </c>
      <c r="Q32" s="2">
        <f>Tabla1[[#This Row],[Total]]-Tabla1[[#This Row],[SIN IVA]]</f>
        <v>0</v>
      </c>
      <c r="R32" s="2">
        <f>Tabla1[[#This Row],[Total]]*0.2</f>
        <v>0</v>
      </c>
      <c r="S32" s="2">
        <f>ROUNDUP((Tabla1[[#This Row],[Total]]-Tabla1[[#This Row],[Columna1]]),0)</f>
        <v>0</v>
      </c>
    </row>
    <row r="33" spans="5:19" x14ac:dyDescent="0.25">
      <c r="E33" s="3"/>
      <c r="F33" s="2">
        <f t="shared" si="12"/>
        <v>0</v>
      </c>
      <c r="G33" s="1">
        <v>0.7</v>
      </c>
      <c r="H33" s="2">
        <f t="shared" si="13"/>
        <v>0</v>
      </c>
      <c r="I33" s="2">
        <f t="shared" si="14"/>
        <v>0</v>
      </c>
      <c r="J33" s="1">
        <v>0.2</v>
      </c>
      <c r="K33" s="2">
        <f t="shared" si="15"/>
        <v>0</v>
      </c>
      <c r="L33" s="1">
        <v>10</v>
      </c>
      <c r="M33" s="2">
        <f t="shared" si="16"/>
        <v>0</v>
      </c>
      <c r="N33" s="2">
        <f t="shared" si="17"/>
        <v>0</v>
      </c>
      <c r="O33" s="2">
        <f>Tabla1[[#This Row],[Costo Unitario]]*0.5+Tabla1[[#This Row],[Costo Unitario]]</f>
        <v>0</v>
      </c>
      <c r="P33" s="2">
        <f>Tabla1[[#This Row],[Total]]/1.16</f>
        <v>0</v>
      </c>
      <c r="Q33" s="2">
        <f>Tabla1[[#This Row],[Total]]-Tabla1[[#This Row],[SIN IVA]]</f>
        <v>0</v>
      </c>
      <c r="R33" s="2">
        <f>Tabla1[[#This Row],[Total]]*0.2</f>
        <v>0</v>
      </c>
      <c r="S33" s="2">
        <f>ROUNDUP((Tabla1[[#This Row],[Total]]-Tabla1[[#This Row],[Columna1]]),0)</f>
        <v>0</v>
      </c>
    </row>
    <row r="34" spans="5:19" x14ac:dyDescent="0.25">
      <c r="E34" s="3"/>
      <c r="F34" s="2">
        <f t="shared" si="12"/>
        <v>0</v>
      </c>
      <c r="G34" s="1">
        <v>0.7</v>
      </c>
      <c r="H34" s="2">
        <f t="shared" si="13"/>
        <v>0</v>
      </c>
      <c r="I34" s="2">
        <f t="shared" si="14"/>
        <v>0</v>
      </c>
      <c r="J34" s="1">
        <v>0.2</v>
      </c>
      <c r="K34" s="2">
        <f t="shared" si="15"/>
        <v>0</v>
      </c>
      <c r="L34" s="1">
        <v>10</v>
      </c>
      <c r="M34" s="2">
        <f t="shared" si="16"/>
        <v>0</v>
      </c>
      <c r="N34" s="2">
        <f t="shared" si="17"/>
        <v>0</v>
      </c>
      <c r="O34" s="2">
        <f>Tabla1[[#This Row],[Costo Unitario]]*0.5+Tabla1[[#This Row],[Costo Unitario]]</f>
        <v>0</v>
      </c>
      <c r="P34" s="2">
        <f>Tabla1[[#This Row],[Total]]/1.16</f>
        <v>0</v>
      </c>
      <c r="Q34" s="2">
        <f>Tabla1[[#This Row],[Total]]-Tabla1[[#This Row],[SIN IVA]]</f>
        <v>0</v>
      </c>
      <c r="R34" s="2">
        <f>Tabla1[[#This Row],[Total]]*0.2</f>
        <v>0</v>
      </c>
      <c r="S34" s="2">
        <f>ROUNDUP((Tabla1[[#This Row],[Total]]-Tabla1[[#This Row],[Columna1]]),0)</f>
        <v>0</v>
      </c>
    </row>
  </sheetData>
  <phoneticPr fontId="9"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40361-25FE-4C70-85A4-022CDA615AEC}">
  <sheetPr codeName="Hoja4"/>
  <dimension ref="A1:Q24"/>
  <sheetViews>
    <sheetView workbookViewId="0">
      <selection activeCell="B20" sqref="B20"/>
    </sheetView>
  </sheetViews>
  <sheetFormatPr baseColWidth="10" defaultRowHeight="15" x14ac:dyDescent="0.25"/>
  <cols>
    <col min="1" max="1" width="31.28515625" customWidth="1"/>
    <col min="2" max="2" width="5.5703125" customWidth="1"/>
    <col min="3" max="3" width="9.85546875" customWidth="1"/>
    <col min="4" max="4" width="12.7109375" customWidth="1"/>
    <col min="5" max="5" width="17.140625" customWidth="1"/>
    <col min="6" max="6" width="16.7109375" customWidth="1"/>
    <col min="7" max="7" width="10.7109375" customWidth="1"/>
    <col min="8" max="8" width="11.85546875" customWidth="1"/>
    <col min="9" max="9" width="16.140625" customWidth="1"/>
    <col min="10" max="10" width="7.28515625" bestFit="1" customWidth="1"/>
    <col min="11" max="11" width="12.5703125" customWidth="1"/>
    <col min="12" max="12" width="11.7109375" customWidth="1"/>
    <col min="13" max="13" width="17.7109375" customWidth="1"/>
    <col min="14" max="14" width="12.28515625" customWidth="1"/>
    <col min="15" max="15" width="20.85546875" customWidth="1"/>
  </cols>
  <sheetData>
    <row r="1" spans="1:17" ht="15.75" x14ac:dyDescent="0.25">
      <c r="A1" s="4" t="s">
        <v>0</v>
      </c>
      <c r="B1" s="4" t="s">
        <v>12</v>
      </c>
      <c r="C1" s="4" t="s">
        <v>9</v>
      </c>
      <c r="D1" s="4" t="s">
        <v>5</v>
      </c>
      <c r="E1" s="4" t="s">
        <v>23</v>
      </c>
      <c r="F1" s="4" t="s">
        <v>24</v>
      </c>
      <c r="G1" s="4" t="s">
        <v>6</v>
      </c>
      <c r="H1" s="4" t="s">
        <v>1</v>
      </c>
      <c r="I1" s="4" t="s">
        <v>7</v>
      </c>
      <c r="J1" s="5" t="s">
        <v>4</v>
      </c>
      <c r="K1" s="4" t="s">
        <v>2</v>
      </c>
      <c r="L1" s="4" t="s">
        <v>3</v>
      </c>
      <c r="M1" s="4" t="s">
        <v>8</v>
      </c>
      <c r="N1" s="4" t="s">
        <v>13</v>
      </c>
      <c r="O1" s="4" t="s">
        <v>57</v>
      </c>
      <c r="P1" s="4" t="s">
        <v>58</v>
      </c>
      <c r="Q1" s="4" t="s">
        <v>59</v>
      </c>
    </row>
    <row r="2" spans="1:17" x14ac:dyDescent="0.25">
      <c r="A2" s="1" t="s">
        <v>10</v>
      </c>
      <c r="B2" s="1">
        <v>1</v>
      </c>
      <c r="C2" s="1" t="s">
        <v>11</v>
      </c>
      <c r="D2" s="1"/>
      <c r="E2" s="3">
        <v>1899</v>
      </c>
      <c r="F2" s="2">
        <f>E2*B2</f>
        <v>1899</v>
      </c>
      <c r="G2" s="1">
        <v>0.7</v>
      </c>
      <c r="H2" s="2">
        <f t="shared" ref="H2:H24" si="0">ROUNDUP(E2*G2,0)</f>
        <v>1330</v>
      </c>
      <c r="I2" s="2">
        <f t="shared" ref="I2:I24" si="1">E2+H2</f>
        <v>3229</v>
      </c>
      <c r="J2" s="1">
        <v>0.2</v>
      </c>
      <c r="K2" s="2">
        <f>ROUNDUP(J2*I2,0)</f>
        <v>646</v>
      </c>
      <c r="L2" s="1">
        <v>10</v>
      </c>
      <c r="M2" s="2">
        <f>ROUNDUP((I2-K2)/L2,0)</f>
        <v>259</v>
      </c>
      <c r="N2" s="2">
        <f>K2+(M2*L2)</f>
        <v>3236</v>
      </c>
      <c r="O2" s="2">
        <f>Tabla13[[#This Row],[Costo Unitario]]*0.5+Tabla13[[#This Row],[Costo Unitario]]</f>
        <v>2848.5</v>
      </c>
      <c r="P2" s="2">
        <f>Tabla13[[#This Row],[Total]]/1.16</f>
        <v>2789.6551724137935</v>
      </c>
      <c r="Q2" s="2">
        <f>Tabla13[[#This Row],[Total]]-Tabla13[[#This Row],[SIN IVA]]</f>
        <v>446.34482758620652</v>
      </c>
    </row>
    <row r="3" spans="1:17" x14ac:dyDescent="0.25">
      <c r="A3" s="1" t="s">
        <v>10</v>
      </c>
      <c r="B3" s="1">
        <v>1</v>
      </c>
      <c r="C3" s="1" t="s">
        <v>14</v>
      </c>
      <c r="D3" s="1"/>
      <c r="E3" s="3">
        <v>1899</v>
      </c>
      <c r="F3" s="2">
        <f t="shared" ref="F3:F24" si="2">E3*B3</f>
        <v>1899</v>
      </c>
      <c r="G3" s="1">
        <v>0.7</v>
      </c>
      <c r="H3" s="2">
        <f t="shared" si="0"/>
        <v>1330</v>
      </c>
      <c r="I3" s="2">
        <f t="shared" si="1"/>
        <v>3229</v>
      </c>
      <c r="J3" s="1">
        <v>0.2</v>
      </c>
      <c r="K3" s="2">
        <f t="shared" ref="K3:K24" si="3">ROUNDUP(J3*I3,0)</f>
        <v>646</v>
      </c>
      <c r="L3" s="1">
        <v>10</v>
      </c>
      <c r="M3" s="2">
        <f t="shared" ref="M3:M24" si="4">ROUNDUP((I3-K3)/L3,0)</f>
        <v>259</v>
      </c>
      <c r="N3" s="2">
        <f t="shared" ref="N3:N24" si="5">K3+(M3*L3)</f>
        <v>3236</v>
      </c>
      <c r="O3" s="2">
        <f>Tabla13[[#This Row],[Costo Unitario]]*0.5+Tabla13[[#This Row],[Costo Unitario]]</f>
        <v>2848.5</v>
      </c>
      <c r="P3" s="2">
        <f>Tabla13[[#This Row],[Total]]/1.16</f>
        <v>2789.6551724137935</v>
      </c>
      <c r="Q3" s="2">
        <f>Tabla13[[#This Row],[Total]]-Tabla13[[#This Row],[SIN IVA]]</f>
        <v>446.34482758620652</v>
      </c>
    </row>
    <row r="4" spans="1:17" x14ac:dyDescent="0.25">
      <c r="A4" s="1" t="s">
        <v>10</v>
      </c>
      <c r="B4" s="1">
        <v>2</v>
      </c>
      <c r="C4" s="1" t="s">
        <v>15</v>
      </c>
      <c r="D4" s="1"/>
      <c r="E4" s="3">
        <v>1899</v>
      </c>
      <c r="F4" s="2">
        <f t="shared" si="2"/>
        <v>3798</v>
      </c>
      <c r="G4" s="1">
        <v>0.7</v>
      </c>
      <c r="H4" s="2">
        <f t="shared" si="0"/>
        <v>1330</v>
      </c>
      <c r="I4" s="2">
        <f t="shared" si="1"/>
        <v>3229</v>
      </c>
      <c r="J4" s="1">
        <v>0.2</v>
      </c>
      <c r="K4" s="2">
        <f t="shared" si="3"/>
        <v>646</v>
      </c>
      <c r="L4" s="1">
        <v>10</v>
      </c>
      <c r="M4" s="2">
        <f t="shared" si="4"/>
        <v>259</v>
      </c>
      <c r="N4" s="2">
        <f t="shared" si="5"/>
        <v>3236</v>
      </c>
      <c r="O4" s="2">
        <f>Tabla13[[#This Row],[Costo Unitario]]*0.5+Tabla13[[#This Row],[Costo Unitario]]</f>
        <v>2848.5</v>
      </c>
      <c r="P4" s="2">
        <f>Tabla13[[#This Row],[Total]]/1.16</f>
        <v>2789.6551724137935</v>
      </c>
      <c r="Q4" s="2">
        <f>Tabla13[[#This Row],[Total]]-Tabla13[[#This Row],[SIN IVA]]</f>
        <v>446.34482758620652</v>
      </c>
    </row>
    <row r="5" spans="1:17" x14ac:dyDescent="0.25">
      <c r="A5" s="1" t="s">
        <v>16</v>
      </c>
      <c r="B5" s="1">
        <v>2</v>
      </c>
      <c r="C5" s="1" t="s">
        <v>11</v>
      </c>
      <c r="E5" s="3">
        <v>2369</v>
      </c>
      <c r="F5" s="2">
        <f t="shared" si="2"/>
        <v>4738</v>
      </c>
      <c r="G5" s="1">
        <v>0.7</v>
      </c>
      <c r="H5" s="2">
        <f t="shared" si="0"/>
        <v>1659</v>
      </c>
      <c r="I5" s="2">
        <f t="shared" si="1"/>
        <v>4028</v>
      </c>
      <c r="J5" s="1">
        <v>0.2</v>
      </c>
      <c r="K5" s="2">
        <f t="shared" si="3"/>
        <v>806</v>
      </c>
      <c r="L5" s="1">
        <v>10</v>
      </c>
      <c r="M5" s="2">
        <f t="shared" si="4"/>
        <v>323</v>
      </c>
      <c r="N5" s="2">
        <f t="shared" si="5"/>
        <v>4036</v>
      </c>
      <c r="O5" s="2">
        <f>Tabla13[[#This Row],[Costo Unitario]]*0.5+Tabla13[[#This Row],[Costo Unitario]]</f>
        <v>3553.5</v>
      </c>
      <c r="P5" s="2">
        <f>Tabla13[[#This Row],[Total]]/1.16</f>
        <v>3479.3103448275865</v>
      </c>
      <c r="Q5" s="2">
        <f>Tabla13[[#This Row],[Total]]-Tabla13[[#This Row],[SIN IVA]]</f>
        <v>556.6896551724135</v>
      </c>
    </row>
    <row r="6" spans="1:17" x14ac:dyDescent="0.25">
      <c r="A6" s="1" t="s">
        <v>16</v>
      </c>
      <c r="B6" s="1">
        <v>2</v>
      </c>
      <c r="C6" s="1" t="s">
        <v>15</v>
      </c>
      <c r="E6" s="3">
        <v>2369</v>
      </c>
      <c r="F6" s="2">
        <f t="shared" si="2"/>
        <v>4738</v>
      </c>
      <c r="G6" s="1">
        <v>0.7</v>
      </c>
      <c r="H6" s="2">
        <f t="shared" si="0"/>
        <v>1659</v>
      </c>
      <c r="I6" s="2">
        <f t="shared" si="1"/>
        <v>4028</v>
      </c>
      <c r="J6" s="1">
        <v>0.2</v>
      </c>
      <c r="K6" s="2">
        <f t="shared" si="3"/>
        <v>806</v>
      </c>
      <c r="L6" s="1">
        <v>10</v>
      </c>
      <c r="M6" s="2">
        <f t="shared" si="4"/>
        <v>323</v>
      </c>
      <c r="N6" s="2">
        <f t="shared" si="5"/>
        <v>4036</v>
      </c>
      <c r="O6" s="2">
        <f>Tabla13[[#This Row],[Costo Unitario]]*0.5+Tabla13[[#This Row],[Costo Unitario]]</f>
        <v>3553.5</v>
      </c>
      <c r="P6" s="2">
        <f>Tabla13[[#This Row],[Total]]/1.16</f>
        <v>3479.3103448275865</v>
      </c>
      <c r="Q6" s="2">
        <f>Tabla13[[#This Row],[Total]]-Tabla13[[#This Row],[SIN IVA]]</f>
        <v>556.6896551724135</v>
      </c>
    </row>
    <row r="7" spans="1:17" x14ac:dyDescent="0.25">
      <c r="A7" s="1" t="s">
        <v>17</v>
      </c>
      <c r="B7" s="1">
        <v>2</v>
      </c>
      <c r="C7" s="1" t="s">
        <v>11</v>
      </c>
      <c r="E7" s="3">
        <v>2679</v>
      </c>
      <c r="F7" s="2">
        <f t="shared" si="2"/>
        <v>5358</v>
      </c>
      <c r="G7" s="1">
        <v>0.7</v>
      </c>
      <c r="H7" s="2">
        <f t="shared" si="0"/>
        <v>1876</v>
      </c>
      <c r="I7" s="2">
        <f t="shared" si="1"/>
        <v>4555</v>
      </c>
      <c r="J7" s="1">
        <v>0.2</v>
      </c>
      <c r="K7" s="2">
        <f t="shared" si="3"/>
        <v>911</v>
      </c>
      <c r="L7" s="1">
        <v>10</v>
      </c>
      <c r="M7" s="2">
        <f t="shared" si="4"/>
        <v>365</v>
      </c>
      <c r="N7" s="2">
        <f t="shared" si="5"/>
        <v>4561</v>
      </c>
      <c r="O7" s="2">
        <f>Tabla13[[#This Row],[Costo Unitario]]*0.5+Tabla13[[#This Row],[Costo Unitario]]</f>
        <v>4018.5</v>
      </c>
      <c r="P7" s="2">
        <f>Tabla13[[#This Row],[Total]]/1.16</f>
        <v>3931.8965517241381</v>
      </c>
      <c r="Q7" s="2">
        <f>Tabla13[[#This Row],[Total]]-Tabla13[[#This Row],[SIN IVA]]</f>
        <v>629.10344827586187</v>
      </c>
    </row>
    <row r="8" spans="1:17" x14ac:dyDescent="0.25">
      <c r="A8" s="1" t="s">
        <v>17</v>
      </c>
      <c r="B8" s="1">
        <v>2</v>
      </c>
      <c r="C8" s="1" t="s">
        <v>18</v>
      </c>
      <c r="E8" s="3">
        <v>2679</v>
      </c>
      <c r="F8" s="2">
        <f t="shared" si="2"/>
        <v>5358</v>
      </c>
      <c r="G8" s="1">
        <v>0.7</v>
      </c>
      <c r="H8" s="2">
        <f t="shared" si="0"/>
        <v>1876</v>
      </c>
      <c r="I8" s="2">
        <f t="shared" si="1"/>
        <v>4555</v>
      </c>
      <c r="J8" s="1">
        <v>0.2</v>
      </c>
      <c r="K8" s="2">
        <f t="shared" si="3"/>
        <v>911</v>
      </c>
      <c r="L8" s="1">
        <v>10</v>
      </c>
      <c r="M8" s="2">
        <f t="shared" si="4"/>
        <v>365</v>
      </c>
      <c r="N8" s="2">
        <f t="shared" si="5"/>
        <v>4561</v>
      </c>
      <c r="O8" s="2">
        <f>Tabla13[[#This Row],[Costo Unitario]]*0.5+Tabla13[[#This Row],[Costo Unitario]]</f>
        <v>4018.5</v>
      </c>
      <c r="P8" s="2">
        <f>Tabla13[[#This Row],[Total]]/1.16</f>
        <v>3931.8965517241381</v>
      </c>
      <c r="Q8" s="2">
        <f>Tabla13[[#This Row],[Total]]-Tabla13[[#This Row],[SIN IVA]]</f>
        <v>629.10344827586187</v>
      </c>
    </row>
    <row r="9" spans="1:17" x14ac:dyDescent="0.25">
      <c r="A9" s="1" t="s">
        <v>19</v>
      </c>
      <c r="B9" s="1">
        <v>2</v>
      </c>
      <c r="C9" s="1" t="s">
        <v>20</v>
      </c>
      <c r="E9" s="3">
        <v>1629</v>
      </c>
      <c r="F9" s="2">
        <f t="shared" si="2"/>
        <v>3258</v>
      </c>
      <c r="G9" s="1">
        <v>0.7</v>
      </c>
      <c r="H9" s="2">
        <f t="shared" si="0"/>
        <v>1141</v>
      </c>
      <c r="I9" s="2">
        <f t="shared" si="1"/>
        <v>2770</v>
      </c>
      <c r="J9" s="1">
        <v>0.2</v>
      </c>
      <c r="K9" s="2">
        <f t="shared" si="3"/>
        <v>554</v>
      </c>
      <c r="L9" s="1">
        <v>10</v>
      </c>
      <c r="M9" s="2">
        <f t="shared" si="4"/>
        <v>222</v>
      </c>
      <c r="N9" s="2">
        <f t="shared" si="5"/>
        <v>2774</v>
      </c>
      <c r="O9" s="2">
        <f>Tabla13[[#This Row],[Costo Unitario]]*0.5+Tabla13[[#This Row],[Costo Unitario]]</f>
        <v>2443.5</v>
      </c>
      <c r="P9" s="2">
        <f>Tabla13[[#This Row],[Total]]/1.16</f>
        <v>2391.3793103448279</v>
      </c>
      <c r="Q9" s="2">
        <f>Tabla13[[#This Row],[Total]]-Tabla13[[#This Row],[SIN IVA]]</f>
        <v>382.6206896551721</v>
      </c>
    </row>
    <row r="10" spans="1:17" x14ac:dyDescent="0.25">
      <c r="A10" s="1" t="s">
        <v>19</v>
      </c>
      <c r="B10" s="1">
        <v>2</v>
      </c>
      <c r="C10" s="1" t="s">
        <v>11</v>
      </c>
      <c r="E10" s="3">
        <v>1629</v>
      </c>
      <c r="F10" s="2">
        <f t="shared" si="2"/>
        <v>3258</v>
      </c>
      <c r="G10" s="1">
        <v>0.7</v>
      </c>
      <c r="H10" s="2">
        <f t="shared" si="0"/>
        <v>1141</v>
      </c>
      <c r="I10" s="2">
        <f t="shared" si="1"/>
        <v>2770</v>
      </c>
      <c r="J10" s="1">
        <v>0.2</v>
      </c>
      <c r="K10" s="2">
        <f t="shared" si="3"/>
        <v>554</v>
      </c>
      <c r="L10" s="1">
        <v>10</v>
      </c>
      <c r="M10" s="2">
        <f t="shared" si="4"/>
        <v>222</v>
      </c>
      <c r="N10" s="2">
        <f t="shared" si="5"/>
        <v>2774</v>
      </c>
      <c r="O10" s="2">
        <f>Tabla13[[#This Row],[Costo Unitario]]*0.5+Tabla13[[#This Row],[Costo Unitario]]</f>
        <v>2443.5</v>
      </c>
      <c r="P10" s="2">
        <f>Tabla13[[#This Row],[Total]]/1.16</f>
        <v>2391.3793103448279</v>
      </c>
      <c r="Q10" s="2">
        <f>Tabla13[[#This Row],[Total]]-Tabla13[[#This Row],[SIN IVA]]</f>
        <v>382.6206896551721</v>
      </c>
    </row>
    <row r="11" spans="1:17" x14ac:dyDescent="0.25">
      <c r="A11" s="1" t="s">
        <v>21</v>
      </c>
      <c r="B11" s="1">
        <v>4</v>
      </c>
      <c r="C11" s="1" t="s">
        <v>15</v>
      </c>
      <c r="E11" s="3">
        <v>2049</v>
      </c>
      <c r="F11" s="2">
        <f t="shared" si="2"/>
        <v>8196</v>
      </c>
      <c r="G11" s="1">
        <v>0.7</v>
      </c>
      <c r="H11" s="2">
        <f t="shared" si="0"/>
        <v>1435</v>
      </c>
      <c r="I11" s="2">
        <f t="shared" si="1"/>
        <v>3484</v>
      </c>
      <c r="J11" s="1">
        <v>0.2</v>
      </c>
      <c r="K11" s="2">
        <f t="shared" si="3"/>
        <v>697</v>
      </c>
      <c r="L11" s="1">
        <v>10</v>
      </c>
      <c r="M11" s="2">
        <f t="shared" si="4"/>
        <v>279</v>
      </c>
      <c r="N11" s="2">
        <f t="shared" si="5"/>
        <v>3487</v>
      </c>
      <c r="O11" s="2">
        <f>Tabla13[[#This Row],[Costo Unitario]]*0.5+Tabla13[[#This Row],[Costo Unitario]]</f>
        <v>3073.5</v>
      </c>
      <c r="P11" s="2">
        <f>Tabla13[[#This Row],[Total]]/1.16</f>
        <v>3006.0344827586209</v>
      </c>
      <c r="Q11" s="2">
        <f>Tabla13[[#This Row],[Total]]-Tabla13[[#This Row],[SIN IVA]]</f>
        <v>480.96551724137908</v>
      </c>
    </row>
    <row r="12" spans="1:17" x14ac:dyDescent="0.25">
      <c r="A12" s="1" t="s">
        <v>22</v>
      </c>
      <c r="B12" s="1">
        <v>4</v>
      </c>
      <c r="C12" s="1" t="s">
        <v>20</v>
      </c>
      <c r="E12" s="3">
        <v>2129</v>
      </c>
      <c r="F12" s="2">
        <f t="shared" si="2"/>
        <v>8516</v>
      </c>
      <c r="G12" s="1">
        <v>0.7</v>
      </c>
      <c r="H12" s="2">
        <f t="shared" si="0"/>
        <v>1491</v>
      </c>
      <c r="I12" s="2">
        <f t="shared" si="1"/>
        <v>3620</v>
      </c>
      <c r="J12" s="1">
        <v>0.2</v>
      </c>
      <c r="K12" s="2">
        <f t="shared" si="3"/>
        <v>724</v>
      </c>
      <c r="L12" s="1">
        <v>10</v>
      </c>
      <c r="M12" s="2">
        <f t="shared" si="4"/>
        <v>290</v>
      </c>
      <c r="N12" s="2">
        <f t="shared" si="5"/>
        <v>3624</v>
      </c>
      <c r="O12" s="2">
        <f>Tabla13[[#This Row],[Costo Unitario]]*0.5+Tabla13[[#This Row],[Costo Unitario]]</f>
        <v>3193.5</v>
      </c>
      <c r="P12" s="2">
        <f>Tabla13[[#This Row],[Total]]/1.16</f>
        <v>3124.1379310344828</v>
      </c>
      <c r="Q12" s="2">
        <f>Tabla13[[#This Row],[Total]]-Tabla13[[#This Row],[SIN IVA]]</f>
        <v>499.86206896551721</v>
      </c>
    </row>
    <row r="13" spans="1:17" x14ac:dyDescent="0.25">
      <c r="A13" s="1" t="s">
        <v>25</v>
      </c>
      <c r="B13" s="6">
        <v>2</v>
      </c>
      <c r="C13" s="8" t="s">
        <v>33</v>
      </c>
      <c r="D13" s="1" t="s">
        <v>32</v>
      </c>
      <c r="E13" s="3">
        <v>2331</v>
      </c>
      <c r="F13" s="2">
        <f t="shared" si="2"/>
        <v>4662</v>
      </c>
      <c r="G13" s="1">
        <v>0.7</v>
      </c>
      <c r="H13" s="2">
        <f t="shared" si="0"/>
        <v>1632</v>
      </c>
      <c r="I13" s="2">
        <f t="shared" si="1"/>
        <v>3963</v>
      </c>
      <c r="J13" s="1">
        <v>0.2</v>
      </c>
      <c r="K13" s="2">
        <f t="shared" si="3"/>
        <v>793</v>
      </c>
      <c r="L13" s="1">
        <v>10</v>
      </c>
      <c r="M13" s="2">
        <f t="shared" si="4"/>
        <v>317</v>
      </c>
      <c r="N13" s="2">
        <f t="shared" si="5"/>
        <v>3963</v>
      </c>
      <c r="O13" s="2">
        <f>Tabla13[[#This Row],[Costo Unitario]]*0.5+Tabla13[[#This Row],[Costo Unitario]]</f>
        <v>3496.5</v>
      </c>
      <c r="P13" s="2">
        <f>Tabla13[[#This Row],[Total]]/1.16</f>
        <v>3416.3793103448279</v>
      </c>
      <c r="Q13" s="2">
        <f>Tabla13[[#This Row],[Total]]-Tabla13[[#This Row],[SIN IVA]]</f>
        <v>546.6206896551721</v>
      </c>
    </row>
    <row r="14" spans="1:17" x14ac:dyDescent="0.25">
      <c r="A14" s="1" t="s">
        <v>26</v>
      </c>
      <c r="B14" s="6">
        <v>1</v>
      </c>
      <c r="C14" s="8" t="s">
        <v>33</v>
      </c>
      <c r="D14" s="1" t="s">
        <v>32</v>
      </c>
      <c r="E14" s="3">
        <v>2423</v>
      </c>
      <c r="F14" s="2">
        <f t="shared" si="2"/>
        <v>2423</v>
      </c>
      <c r="G14" s="1">
        <v>0.7</v>
      </c>
      <c r="H14" s="2">
        <f t="shared" si="0"/>
        <v>1697</v>
      </c>
      <c r="I14" s="2">
        <f t="shared" si="1"/>
        <v>4120</v>
      </c>
      <c r="J14" s="1">
        <v>0.2</v>
      </c>
      <c r="K14" s="2">
        <f t="shared" si="3"/>
        <v>824</v>
      </c>
      <c r="L14" s="1">
        <v>10</v>
      </c>
      <c r="M14" s="2">
        <f t="shared" si="4"/>
        <v>330</v>
      </c>
      <c r="N14" s="2">
        <f t="shared" si="5"/>
        <v>4124</v>
      </c>
      <c r="O14" s="2">
        <f>Tabla13[[#This Row],[Costo Unitario]]*0.5+Tabla13[[#This Row],[Costo Unitario]]</f>
        <v>3634.5</v>
      </c>
      <c r="P14" s="2">
        <f>Tabla13[[#This Row],[Total]]/1.16</f>
        <v>3555.1724137931037</v>
      </c>
      <c r="Q14" s="2">
        <f>Tabla13[[#This Row],[Total]]-Tabla13[[#This Row],[SIN IVA]]</f>
        <v>568.82758620689629</v>
      </c>
    </row>
    <row r="15" spans="1:17" x14ac:dyDescent="0.25">
      <c r="A15" s="1" t="s">
        <v>27</v>
      </c>
      <c r="B15" s="6">
        <v>2</v>
      </c>
      <c r="C15" s="8" t="s">
        <v>33</v>
      </c>
      <c r="D15" s="1" t="s">
        <v>32</v>
      </c>
      <c r="E15" s="3">
        <v>2299</v>
      </c>
      <c r="F15" s="2">
        <f t="shared" si="2"/>
        <v>4598</v>
      </c>
      <c r="G15" s="1">
        <v>0.7</v>
      </c>
      <c r="H15" s="2">
        <f t="shared" si="0"/>
        <v>1610</v>
      </c>
      <c r="I15" s="2">
        <f t="shared" si="1"/>
        <v>3909</v>
      </c>
      <c r="J15" s="1">
        <v>0.2</v>
      </c>
      <c r="K15" s="2">
        <f t="shared" si="3"/>
        <v>782</v>
      </c>
      <c r="L15" s="1">
        <v>10</v>
      </c>
      <c r="M15" s="2">
        <f t="shared" si="4"/>
        <v>313</v>
      </c>
      <c r="N15" s="2">
        <f t="shared" si="5"/>
        <v>3912</v>
      </c>
      <c r="O15" s="2">
        <f>Tabla13[[#This Row],[Costo Unitario]]*0.5+Tabla13[[#This Row],[Costo Unitario]]</f>
        <v>3448.5</v>
      </c>
      <c r="P15" s="2">
        <f>Tabla13[[#This Row],[Total]]/1.16</f>
        <v>3372.4137931034484</v>
      </c>
      <c r="Q15" s="2">
        <f>Tabla13[[#This Row],[Total]]-Tabla13[[#This Row],[SIN IVA]]</f>
        <v>539.58620689655163</v>
      </c>
    </row>
    <row r="16" spans="1:17" x14ac:dyDescent="0.25">
      <c r="A16" s="1" t="s">
        <v>28</v>
      </c>
      <c r="B16" s="6">
        <v>2</v>
      </c>
      <c r="C16" s="8" t="s">
        <v>33</v>
      </c>
      <c r="D16" s="1" t="s">
        <v>32</v>
      </c>
      <c r="E16" s="3">
        <v>1734</v>
      </c>
      <c r="F16" s="2">
        <f t="shared" si="2"/>
        <v>3468</v>
      </c>
      <c r="G16" s="1">
        <v>0.7</v>
      </c>
      <c r="H16" s="2">
        <f t="shared" si="0"/>
        <v>1214</v>
      </c>
      <c r="I16" s="2">
        <f t="shared" si="1"/>
        <v>2948</v>
      </c>
      <c r="J16" s="1">
        <v>0.2</v>
      </c>
      <c r="K16" s="2">
        <f t="shared" si="3"/>
        <v>590</v>
      </c>
      <c r="L16" s="1">
        <v>10</v>
      </c>
      <c r="M16" s="2">
        <f t="shared" si="4"/>
        <v>236</v>
      </c>
      <c r="N16" s="2">
        <f t="shared" si="5"/>
        <v>2950</v>
      </c>
      <c r="O16" s="2">
        <f>Tabla13[[#This Row],[Costo Unitario]]*0.5+Tabla13[[#This Row],[Costo Unitario]]</f>
        <v>2601</v>
      </c>
      <c r="P16" s="2">
        <f>Tabla13[[#This Row],[Total]]/1.16</f>
        <v>2543.1034482758623</v>
      </c>
      <c r="Q16" s="2">
        <f>Tabla13[[#This Row],[Total]]-Tabla13[[#This Row],[SIN IVA]]</f>
        <v>406.89655172413768</v>
      </c>
    </row>
    <row r="17" spans="1:17" x14ac:dyDescent="0.25">
      <c r="A17" s="1" t="s">
        <v>29</v>
      </c>
      <c r="B17" s="6">
        <v>2</v>
      </c>
      <c r="C17" s="8" t="s">
        <v>33</v>
      </c>
      <c r="D17" s="1" t="s">
        <v>32</v>
      </c>
      <c r="E17" s="3">
        <v>1899</v>
      </c>
      <c r="F17" s="2">
        <f t="shared" si="2"/>
        <v>3798</v>
      </c>
      <c r="G17" s="1">
        <v>0.7</v>
      </c>
      <c r="H17" s="2">
        <f t="shared" si="0"/>
        <v>1330</v>
      </c>
      <c r="I17" s="2">
        <f t="shared" si="1"/>
        <v>3229</v>
      </c>
      <c r="J17" s="1">
        <v>0.2</v>
      </c>
      <c r="K17" s="2">
        <f t="shared" si="3"/>
        <v>646</v>
      </c>
      <c r="L17" s="1">
        <v>10</v>
      </c>
      <c r="M17" s="2">
        <f t="shared" si="4"/>
        <v>259</v>
      </c>
      <c r="N17" s="2">
        <f t="shared" si="5"/>
        <v>3236</v>
      </c>
      <c r="O17" s="2">
        <f>Tabla13[[#This Row],[Costo Unitario]]*0.5+Tabla13[[#This Row],[Costo Unitario]]</f>
        <v>2848.5</v>
      </c>
      <c r="P17" s="2">
        <f>Tabla13[[#This Row],[Total]]/1.16</f>
        <v>2789.6551724137935</v>
      </c>
      <c r="Q17" s="2">
        <f>Tabla13[[#This Row],[Total]]-Tabla13[[#This Row],[SIN IVA]]</f>
        <v>446.34482758620652</v>
      </c>
    </row>
    <row r="18" spans="1:17" x14ac:dyDescent="0.25">
      <c r="A18" s="1" t="s">
        <v>31</v>
      </c>
      <c r="B18" s="6">
        <v>2</v>
      </c>
      <c r="C18" s="8" t="s">
        <v>33</v>
      </c>
      <c r="D18" s="1" t="s">
        <v>32</v>
      </c>
      <c r="E18" s="3">
        <v>2362</v>
      </c>
      <c r="F18" s="2">
        <f t="shared" si="2"/>
        <v>4724</v>
      </c>
      <c r="G18" s="1">
        <v>0.7</v>
      </c>
      <c r="H18" s="2">
        <f t="shared" si="0"/>
        <v>1654</v>
      </c>
      <c r="I18" s="2">
        <f t="shared" si="1"/>
        <v>4016</v>
      </c>
      <c r="J18" s="1">
        <v>0.2</v>
      </c>
      <c r="K18" s="2">
        <f t="shared" si="3"/>
        <v>804</v>
      </c>
      <c r="L18" s="1">
        <v>10</v>
      </c>
      <c r="M18" s="2">
        <f t="shared" si="4"/>
        <v>322</v>
      </c>
      <c r="N18" s="2">
        <f t="shared" si="5"/>
        <v>4024</v>
      </c>
      <c r="O18" s="2">
        <f>Tabla13[[#This Row],[Costo Unitario]]*0.5+Tabla13[[#This Row],[Costo Unitario]]</f>
        <v>3543</v>
      </c>
      <c r="P18" s="2">
        <f>Tabla13[[#This Row],[Total]]/1.16</f>
        <v>3468.9655172413795</v>
      </c>
      <c r="Q18" s="2">
        <f>Tabla13[[#This Row],[Total]]-Tabla13[[#This Row],[SIN IVA]]</f>
        <v>555.03448275862047</v>
      </c>
    </row>
    <row r="19" spans="1:17" x14ac:dyDescent="0.25">
      <c r="A19" s="1" t="s">
        <v>30</v>
      </c>
      <c r="B19" s="6">
        <v>18</v>
      </c>
      <c r="C19" s="8" t="s">
        <v>33</v>
      </c>
      <c r="D19" s="1" t="s">
        <v>32</v>
      </c>
      <c r="E19" s="3">
        <v>500</v>
      </c>
      <c r="F19" s="2">
        <f t="shared" si="2"/>
        <v>9000</v>
      </c>
      <c r="G19" s="1">
        <v>0.7</v>
      </c>
      <c r="H19" s="2">
        <f t="shared" si="0"/>
        <v>350</v>
      </c>
      <c r="I19" s="2">
        <f t="shared" si="1"/>
        <v>850</v>
      </c>
      <c r="J19" s="1">
        <v>0.2</v>
      </c>
      <c r="K19" s="2">
        <f t="shared" si="3"/>
        <v>170</v>
      </c>
      <c r="L19" s="1">
        <v>10</v>
      </c>
      <c r="M19" s="2">
        <f t="shared" si="4"/>
        <v>68</v>
      </c>
      <c r="N19" s="2">
        <f t="shared" si="5"/>
        <v>850</v>
      </c>
      <c r="O19" s="2">
        <f>Tabla13[[#This Row],[Costo Unitario]]*0.5+Tabla13[[#This Row],[Costo Unitario]]</f>
        <v>750</v>
      </c>
      <c r="P19" s="2">
        <f>Tabla13[[#This Row],[Total]]/1.16</f>
        <v>732.75862068965523</v>
      </c>
      <c r="Q19" s="2">
        <f>Tabla13[[#This Row],[Total]]-Tabla13[[#This Row],[SIN IVA]]</f>
        <v>117.24137931034477</v>
      </c>
    </row>
    <row r="20" spans="1:17" x14ac:dyDescent="0.25">
      <c r="E20" s="3">
        <v>0</v>
      </c>
      <c r="F20" s="2">
        <f t="shared" si="2"/>
        <v>0</v>
      </c>
      <c r="G20" s="1">
        <v>0.7</v>
      </c>
      <c r="H20" s="2">
        <f t="shared" si="0"/>
        <v>0</v>
      </c>
      <c r="I20" s="2">
        <f t="shared" si="1"/>
        <v>0</v>
      </c>
      <c r="J20" s="1">
        <v>0.2</v>
      </c>
      <c r="K20" s="2">
        <f t="shared" si="3"/>
        <v>0</v>
      </c>
      <c r="L20" s="1">
        <v>10</v>
      </c>
      <c r="M20" s="2">
        <f t="shared" si="4"/>
        <v>0</v>
      </c>
      <c r="N20" s="2">
        <f t="shared" si="5"/>
        <v>0</v>
      </c>
      <c r="O20" s="2">
        <f>Tabla13[[#This Row],[Costo Unitario]]*0.5+Tabla13[[#This Row],[Costo Unitario]]</f>
        <v>0</v>
      </c>
      <c r="P20" s="2">
        <f>Tabla13[[#This Row],[Total]]/1.16</f>
        <v>0</v>
      </c>
      <c r="Q20" s="2">
        <f>Tabla13[[#This Row],[Total]]-Tabla13[[#This Row],[SIN IVA]]</f>
        <v>0</v>
      </c>
    </row>
    <row r="21" spans="1:17" x14ac:dyDescent="0.25">
      <c r="E21" s="3">
        <v>0</v>
      </c>
      <c r="F21" s="2">
        <f t="shared" si="2"/>
        <v>0</v>
      </c>
      <c r="G21" s="1">
        <v>0.7</v>
      </c>
      <c r="H21" s="2">
        <f t="shared" si="0"/>
        <v>0</v>
      </c>
      <c r="I21" s="2">
        <f t="shared" si="1"/>
        <v>0</v>
      </c>
      <c r="J21" s="1">
        <v>0.2</v>
      </c>
      <c r="K21" s="2">
        <f t="shared" si="3"/>
        <v>0</v>
      </c>
      <c r="L21" s="1">
        <v>10</v>
      </c>
      <c r="M21" s="2">
        <f t="shared" si="4"/>
        <v>0</v>
      </c>
      <c r="N21" s="2">
        <f t="shared" si="5"/>
        <v>0</v>
      </c>
      <c r="O21" s="2">
        <f>Tabla13[[#This Row],[Costo Unitario]]*0.5+Tabla13[[#This Row],[Costo Unitario]]</f>
        <v>0</v>
      </c>
      <c r="P21" s="2">
        <f>Tabla13[[#This Row],[Total]]/1.16</f>
        <v>0</v>
      </c>
      <c r="Q21" s="2">
        <f>Tabla13[[#This Row],[Total]]-Tabla13[[#This Row],[SIN IVA]]</f>
        <v>0</v>
      </c>
    </row>
    <row r="22" spans="1:17" x14ac:dyDescent="0.25">
      <c r="E22" s="3">
        <v>0</v>
      </c>
      <c r="F22" s="2">
        <f t="shared" si="2"/>
        <v>0</v>
      </c>
      <c r="G22" s="1">
        <v>0.7</v>
      </c>
      <c r="H22" s="2">
        <f t="shared" si="0"/>
        <v>0</v>
      </c>
      <c r="I22" s="2">
        <f t="shared" si="1"/>
        <v>0</v>
      </c>
      <c r="J22" s="1">
        <v>0.2</v>
      </c>
      <c r="K22" s="2">
        <f t="shared" si="3"/>
        <v>0</v>
      </c>
      <c r="L22" s="1">
        <v>10</v>
      </c>
      <c r="M22" s="2">
        <f t="shared" si="4"/>
        <v>0</v>
      </c>
      <c r="N22" s="2">
        <f t="shared" si="5"/>
        <v>0</v>
      </c>
      <c r="O22" s="2">
        <f>Tabla13[[#This Row],[Costo Unitario]]*0.5+Tabla13[[#This Row],[Costo Unitario]]</f>
        <v>0</v>
      </c>
      <c r="P22" s="2">
        <f>Tabla13[[#This Row],[Total]]/1.16</f>
        <v>0</v>
      </c>
      <c r="Q22" s="2">
        <f>Tabla13[[#This Row],[Total]]-Tabla13[[#This Row],[SIN IVA]]</f>
        <v>0</v>
      </c>
    </row>
    <row r="23" spans="1:17" x14ac:dyDescent="0.25">
      <c r="E23" s="3">
        <v>0</v>
      </c>
      <c r="F23" s="2">
        <f t="shared" si="2"/>
        <v>0</v>
      </c>
      <c r="G23" s="1">
        <v>0.7</v>
      </c>
      <c r="H23" s="2">
        <f t="shared" si="0"/>
        <v>0</v>
      </c>
      <c r="I23" s="2">
        <f t="shared" si="1"/>
        <v>0</v>
      </c>
      <c r="J23" s="1">
        <v>0.2</v>
      </c>
      <c r="K23" s="2">
        <f t="shared" si="3"/>
        <v>0</v>
      </c>
      <c r="L23" s="1">
        <v>10</v>
      </c>
      <c r="M23" s="2">
        <f t="shared" si="4"/>
        <v>0</v>
      </c>
      <c r="N23" s="2">
        <f t="shared" si="5"/>
        <v>0</v>
      </c>
      <c r="O23" s="2">
        <f>Tabla13[[#This Row],[Costo Unitario]]*0.5+Tabla13[[#This Row],[Costo Unitario]]</f>
        <v>0</v>
      </c>
      <c r="P23" s="2">
        <f>Tabla13[[#This Row],[Total]]/1.16</f>
        <v>0</v>
      </c>
      <c r="Q23" s="2">
        <f>Tabla13[[#This Row],[Total]]-Tabla13[[#This Row],[SIN IVA]]</f>
        <v>0</v>
      </c>
    </row>
    <row r="24" spans="1:17" x14ac:dyDescent="0.25">
      <c r="E24" s="3">
        <v>0</v>
      </c>
      <c r="F24" s="2">
        <f t="shared" si="2"/>
        <v>0</v>
      </c>
      <c r="G24" s="1">
        <v>0.7</v>
      </c>
      <c r="H24" s="2">
        <f t="shared" si="0"/>
        <v>0</v>
      </c>
      <c r="I24" s="2">
        <f t="shared" si="1"/>
        <v>0</v>
      </c>
      <c r="J24" s="1">
        <v>0.2</v>
      </c>
      <c r="K24" s="2">
        <f t="shared" si="3"/>
        <v>0</v>
      </c>
      <c r="L24" s="1">
        <v>10</v>
      </c>
      <c r="M24" s="2">
        <f t="shared" si="4"/>
        <v>0</v>
      </c>
      <c r="N24" s="2">
        <f t="shared" si="5"/>
        <v>0</v>
      </c>
      <c r="O24" s="2">
        <f>Tabla13[[#This Row],[Costo Unitario]]*0.5+Tabla13[[#This Row],[Costo Unitario]]</f>
        <v>0</v>
      </c>
      <c r="P24" s="2">
        <f>Tabla13[[#This Row],[Total]]/1.16</f>
        <v>0</v>
      </c>
      <c r="Q24" s="2">
        <f>Tabla13[[#This Row],[Total]]-Tabla13[[#This Row],[SIN IVA]]</f>
        <v>0</v>
      </c>
    </row>
  </sheetData>
  <sheetProtection sheet="1" objects="1" scenarios="1"/>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3B64-1086-40F8-904B-0AB4B096A251}">
  <sheetPr codeName="Hoja1"/>
  <dimension ref="A1:I20"/>
  <sheetViews>
    <sheetView workbookViewId="0">
      <selection activeCell="I2" sqref="I2"/>
    </sheetView>
  </sheetViews>
  <sheetFormatPr baseColWidth="10" defaultRowHeight="15" x14ac:dyDescent="0.25"/>
  <cols>
    <col min="1" max="1" width="22.140625" customWidth="1"/>
    <col min="2" max="2" width="33" customWidth="1"/>
    <col min="3" max="3" width="19.42578125" customWidth="1"/>
    <col min="4" max="4" width="17" customWidth="1"/>
    <col min="5" max="5" width="19.5703125" customWidth="1"/>
    <col min="6" max="6" width="11" customWidth="1"/>
    <col min="7" max="7" width="12.28515625" customWidth="1"/>
    <col min="8" max="8" width="14" customWidth="1"/>
    <col min="9" max="9" width="13.5703125" customWidth="1"/>
  </cols>
  <sheetData>
    <row r="1" spans="1:9" x14ac:dyDescent="0.25">
      <c r="A1" t="s">
        <v>66</v>
      </c>
      <c r="B1" t="s">
        <v>0</v>
      </c>
      <c r="C1" t="s">
        <v>57</v>
      </c>
      <c r="D1" t="s">
        <v>77</v>
      </c>
      <c r="E1" t="s">
        <v>98</v>
      </c>
      <c r="F1" t="s">
        <v>3</v>
      </c>
      <c r="G1" t="s">
        <v>13</v>
      </c>
      <c r="H1" t="s">
        <v>58</v>
      </c>
      <c r="I1" t="s">
        <v>59</v>
      </c>
    </row>
    <row r="2" spans="1:9" x14ac:dyDescent="0.25">
      <c r="A2" t="s">
        <v>83</v>
      </c>
      <c r="B2" t="s">
        <v>10</v>
      </c>
      <c r="C2" s="13">
        <v>2848.5</v>
      </c>
      <c r="D2" s="14">
        <v>646</v>
      </c>
      <c r="E2" s="14">
        <v>259</v>
      </c>
      <c r="F2">
        <v>10</v>
      </c>
      <c r="G2" s="14">
        <v>3236</v>
      </c>
      <c r="H2" s="13">
        <v>2789.6551724137935</v>
      </c>
      <c r="I2" s="13">
        <v>446.34482758620652</v>
      </c>
    </row>
    <row r="3" spans="1:9" x14ac:dyDescent="0.25">
      <c r="A3" t="s">
        <v>84</v>
      </c>
      <c r="B3" t="s">
        <v>10</v>
      </c>
      <c r="C3" s="13">
        <v>2848.5</v>
      </c>
      <c r="D3" s="14">
        <v>646</v>
      </c>
      <c r="E3" s="14">
        <v>259</v>
      </c>
      <c r="F3">
        <v>10</v>
      </c>
      <c r="G3" s="14">
        <v>3236</v>
      </c>
      <c r="H3" s="13">
        <v>2789.6551724137935</v>
      </c>
      <c r="I3" s="13">
        <v>446.34482758620652</v>
      </c>
    </row>
    <row r="4" spans="1:9" x14ac:dyDescent="0.25">
      <c r="A4" t="s">
        <v>85</v>
      </c>
      <c r="B4" t="s">
        <v>10</v>
      </c>
      <c r="C4" s="13">
        <v>2848.5</v>
      </c>
      <c r="D4" s="14">
        <v>646</v>
      </c>
      <c r="E4" s="14">
        <v>259</v>
      </c>
      <c r="F4">
        <v>10</v>
      </c>
      <c r="G4" s="14">
        <v>3236</v>
      </c>
      <c r="H4" s="13">
        <v>2789.6551724137935</v>
      </c>
      <c r="I4" s="13">
        <v>446.34482758620652</v>
      </c>
    </row>
    <row r="5" spans="1:9" x14ac:dyDescent="0.25">
      <c r="A5" t="s">
        <v>86</v>
      </c>
      <c r="B5" t="s">
        <v>16</v>
      </c>
      <c r="C5" s="13">
        <v>3553.5</v>
      </c>
      <c r="D5" s="14">
        <v>806</v>
      </c>
      <c r="E5" s="14">
        <v>323</v>
      </c>
      <c r="F5">
        <v>10</v>
      </c>
      <c r="G5" s="14">
        <v>4036</v>
      </c>
      <c r="H5" s="13">
        <v>3479.3103448275865</v>
      </c>
      <c r="I5" s="13">
        <v>556.6896551724135</v>
      </c>
    </row>
    <row r="6" spans="1:9" x14ac:dyDescent="0.25">
      <c r="A6" t="s">
        <v>88</v>
      </c>
      <c r="B6" t="s">
        <v>16</v>
      </c>
      <c r="C6" s="13">
        <v>3553.5</v>
      </c>
      <c r="D6" s="14">
        <v>806</v>
      </c>
      <c r="E6" s="14">
        <v>323</v>
      </c>
      <c r="F6">
        <v>10</v>
      </c>
      <c r="G6" s="14">
        <v>4036</v>
      </c>
      <c r="H6" s="13">
        <v>3479.3103448275865</v>
      </c>
      <c r="I6" s="13">
        <v>556.6896551724135</v>
      </c>
    </row>
    <row r="7" spans="1:9" x14ac:dyDescent="0.25">
      <c r="A7" t="s">
        <v>87</v>
      </c>
      <c r="B7" t="s">
        <v>17</v>
      </c>
      <c r="C7" s="13">
        <v>4018.5</v>
      </c>
      <c r="D7" s="14">
        <v>911</v>
      </c>
      <c r="E7" s="14">
        <v>365</v>
      </c>
      <c r="F7">
        <v>10</v>
      </c>
      <c r="G7" s="14">
        <v>4561</v>
      </c>
      <c r="H7" s="13">
        <v>3931.8965517241381</v>
      </c>
      <c r="I7" s="13">
        <v>629.10344827586187</v>
      </c>
    </row>
    <row r="8" spans="1:9" x14ac:dyDescent="0.25">
      <c r="A8" t="s">
        <v>89</v>
      </c>
      <c r="B8" t="s">
        <v>17</v>
      </c>
      <c r="C8" s="13">
        <v>4018.5</v>
      </c>
      <c r="D8" s="14">
        <v>911</v>
      </c>
      <c r="E8" s="14">
        <v>365</v>
      </c>
      <c r="F8">
        <v>10</v>
      </c>
      <c r="G8" s="14">
        <v>4561</v>
      </c>
      <c r="H8" s="13">
        <v>3931.8965517241381</v>
      </c>
      <c r="I8" s="13">
        <v>629.10344827586187</v>
      </c>
    </row>
    <row r="9" spans="1:9" x14ac:dyDescent="0.25">
      <c r="A9" t="s">
        <v>90</v>
      </c>
      <c r="B9" t="s">
        <v>19</v>
      </c>
      <c r="C9" s="13">
        <v>2443.5</v>
      </c>
      <c r="D9" s="14">
        <v>554</v>
      </c>
      <c r="E9" s="14">
        <v>222</v>
      </c>
      <c r="F9">
        <v>10</v>
      </c>
      <c r="G9" s="14">
        <v>2774</v>
      </c>
      <c r="H9" s="13">
        <v>2391.3793103448279</v>
      </c>
      <c r="I9" s="13">
        <v>382.6206896551721</v>
      </c>
    </row>
    <row r="10" spans="1:9" x14ac:dyDescent="0.25">
      <c r="A10" t="s">
        <v>91</v>
      </c>
      <c r="B10" t="s">
        <v>19</v>
      </c>
      <c r="C10" s="13">
        <v>2443.5</v>
      </c>
      <c r="D10" s="14">
        <v>554</v>
      </c>
      <c r="E10" s="14">
        <v>222</v>
      </c>
      <c r="F10">
        <v>10</v>
      </c>
      <c r="G10" s="14">
        <v>2774</v>
      </c>
      <c r="H10" s="13">
        <v>2391.3793103448279</v>
      </c>
      <c r="I10" s="13">
        <v>382.6206896551721</v>
      </c>
    </row>
    <row r="11" spans="1:9" x14ac:dyDescent="0.25">
      <c r="A11" t="s">
        <v>92</v>
      </c>
      <c r="B11" t="s">
        <v>21</v>
      </c>
      <c r="C11" s="13">
        <v>3073.5</v>
      </c>
      <c r="D11" s="14">
        <v>697</v>
      </c>
      <c r="E11" s="14">
        <v>279</v>
      </c>
      <c r="F11">
        <v>10</v>
      </c>
      <c r="G11" s="14">
        <v>3487</v>
      </c>
      <c r="H11" s="13">
        <v>3006.0344827586209</v>
      </c>
      <c r="I11" s="13">
        <v>480.96551724137908</v>
      </c>
    </row>
    <row r="12" spans="1:9" x14ac:dyDescent="0.25">
      <c r="A12" t="s">
        <v>93</v>
      </c>
      <c r="B12" t="s">
        <v>22</v>
      </c>
      <c r="C12" s="13">
        <v>3193.5</v>
      </c>
      <c r="D12" s="14">
        <v>724</v>
      </c>
      <c r="E12" s="14">
        <v>290</v>
      </c>
      <c r="F12">
        <v>10</v>
      </c>
      <c r="G12" s="14">
        <v>3624</v>
      </c>
      <c r="H12" s="13">
        <v>3124.1379310344828</v>
      </c>
      <c r="I12" s="13">
        <v>499.86206896551721</v>
      </c>
    </row>
    <row r="13" spans="1:9" x14ac:dyDescent="0.25">
      <c r="A13" t="s">
        <v>94</v>
      </c>
      <c r="B13" t="s">
        <v>25</v>
      </c>
      <c r="C13" s="13">
        <v>3496.5</v>
      </c>
      <c r="D13" s="14">
        <v>700</v>
      </c>
      <c r="E13" s="14">
        <v>280</v>
      </c>
      <c r="F13">
        <v>10</v>
      </c>
      <c r="G13" s="14">
        <v>3497</v>
      </c>
      <c r="H13" s="13">
        <v>3416.3793103448279</v>
      </c>
      <c r="I13" s="13">
        <v>482.75862068965489</v>
      </c>
    </row>
    <row r="14" spans="1:9" x14ac:dyDescent="0.25">
      <c r="A14" t="s">
        <v>67</v>
      </c>
      <c r="B14" t="s">
        <v>26</v>
      </c>
      <c r="C14" s="13">
        <v>3634.5</v>
      </c>
      <c r="D14" s="14">
        <v>824</v>
      </c>
      <c r="E14" s="14">
        <v>330</v>
      </c>
      <c r="F14">
        <v>10</v>
      </c>
      <c r="G14" s="14">
        <v>4124</v>
      </c>
      <c r="H14" s="13">
        <v>3555.1724137931037</v>
      </c>
      <c r="I14" s="13">
        <v>568.82758620689629</v>
      </c>
    </row>
    <row r="15" spans="1:9" x14ac:dyDescent="0.25">
      <c r="A15" t="s">
        <v>68</v>
      </c>
      <c r="B15" t="s">
        <v>27</v>
      </c>
      <c r="C15" s="13">
        <v>3448.5</v>
      </c>
      <c r="D15" s="14">
        <v>782</v>
      </c>
      <c r="E15" s="14">
        <v>313</v>
      </c>
      <c r="F15">
        <v>10</v>
      </c>
      <c r="G15" s="14">
        <v>3912</v>
      </c>
      <c r="H15" s="13">
        <v>3372.4137931034484</v>
      </c>
      <c r="I15" s="13">
        <v>539.58620689655163</v>
      </c>
    </row>
    <row r="16" spans="1:9" x14ac:dyDescent="0.25">
      <c r="A16" t="s">
        <v>95</v>
      </c>
      <c r="B16" t="s">
        <v>28</v>
      </c>
      <c r="C16" s="13">
        <v>2601</v>
      </c>
      <c r="D16" s="14">
        <v>590</v>
      </c>
      <c r="E16" s="14">
        <v>236</v>
      </c>
      <c r="F16">
        <v>10</v>
      </c>
      <c r="G16" s="14">
        <v>2950</v>
      </c>
      <c r="H16" s="13">
        <v>2543.1034482758623</v>
      </c>
      <c r="I16" s="13">
        <v>406.89655172413768</v>
      </c>
    </row>
    <row r="17" spans="1:9" x14ac:dyDescent="0.25">
      <c r="A17" t="s">
        <v>69</v>
      </c>
      <c r="B17" t="s">
        <v>29</v>
      </c>
      <c r="C17" s="13">
        <v>2848.5</v>
      </c>
      <c r="D17" s="14">
        <v>646</v>
      </c>
      <c r="E17" s="14">
        <v>259</v>
      </c>
      <c r="F17">
        <v>10</v>
      </c>
      <c r="G17" s="14">
        <v>3236</v>
      </c>
      <c r="H17" s="13">
        <v>2789.6551724137935</v>
      </c>
      <c r="I17" s="13">
        <v>446.34482758620652</v>
      </c>
    </row>
    <row r="18" spans="1:9" x14ac:dyDescent="0.25">
      <c r="A18" t="s">
        <v>96</v>
      </c>
      <c r="B18" t="s">
        <v>31</v>
      </c>
      <c r="C18" s="13">
        <v>3543</v>
      </c>
      <c r="D18" s="14">
        <v>804</v>
      </c>
      <c r="E18" s="14">
        <v>322</v>
      </c>
      <c r="F18">
        <v>10</v>
      </c>
      <c r="G18" s="14">
        <v>4024</v>
      </c>
      <c r="H18" s="13">
        <v>3468.9655172413795</v>
      </c>
      <c r="I18" s="13">
        <v>555.03448275862047</v>
      </c>
    </row>
    <row r="19" spans="1:9" x14ac:dyDescent="0.25">
      <c r="A19" t="s">
        <v>97</v>
      </c>
      <c r="B19" t="s">
        <v>30</v>
      </c>
      <c r="C19" s="13">
        <v>750</v>
      </c>
      <c r="D19" s="14">
        <v>170</v>
      </c>
      <c r="E19" s="14">
        <v>68</v>
      </c>
      <c r="F19">
        <v>10</v>
      </c>
      <c r="G19" s="14">
        <v>850</v>
      </c>
      <c r="H19" s="13">
        <v>732.75862068965523</v>
      </c>
      <c r="I19" s="13">
        <v>117.24137931034477</v>
      </c>
    </row>
    <row r="20" spans="1:9" x14ac:dyDescent="0.25">
      <c r="A20" t="s">
        <v>103</v>
      </c>
      <c r="B20" t="s">
        <v>101</v>
      </c>
      <c r="C20" s="13">
        <v>3800</v>
      </c>
      <c r="D20" s="14">
        <v>1512</v>
      </c>
      <c r="E20" s="14">
        <v>353</v>
      </c>
      <c r="F20">
        <v>10</v>
      </c>
      <c r="G20" s="14">
        <v>5042</v>
      </c>
      <c r="H20" s="13">
        <v>4346.5517241379312</v>
      </c>
      <c r="I20" s="13">
        <v>695.44827586206884</v>
      </c>
    </row>
  </sheetData>
  <phoneticPr fontId="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6CFAC-8022-4453-B86D-83E5027142D6}">
  <sheetPr codeName="Hoja5">
    <pageSetUpPr fitToPage="1"/>
  </sheetPr>
  <dimension ref="A1:F34"/>
  <sheetViews>
    <sheetView topLeftCell="A18" workbookViewId="0">
      <selection activeCell="E22" sqref="E22:F22"/>
    </sheetView>
  </sheetViews>
  <sheetFormatPr baseColWidth="10" defaultRowHeight="15" x14ac:dyDescent="0.25"/>
  <cols>
    <col min="2" max="2" width="19.28515625" customWidth="1"/>
    <col min="4" max="4" width="20.7109375" customWidth="1"/>
    <col min="6" max="6" width="16.28515625" customWidth="1"/>
  </cols>
  <sheetData>
    <row r="1" spans="1:6" x14ac:dyDescent="0.25">
      <c r="E1" s="33"/>
      <c r="F1" s="33"/>
    </row>
    <row r="2" spans="1:6" x14ac:dyDescent="0.25">
      <c r="A2" s="7" t="s">
        <v>34</v>
      </c>
      <c r="E2" s="33"/>
      <c r="F2" s="33"/>
    </row>
    <row r="3" spans="1:6" ht="15.75" x14ac:dyDescent="0.25">
      <c r="A3" s="11" t="s">
        <v>78</v>
      </c>
      <c r="B3" s="12">
        <f>BUSCADOR!A7</f>
        <v>100</v>
      </c>
      <c r="C3" s="29" t="s">
        <v>79</v>
      </c>
      <c r="D3" s="1" t="s">
        <v>80</v>
      </c>
      <c r="E3" s="33"/>
      <c r="F3" s="33"/>
    </row>
    <row r="4" spans="1:6" ht="21.75" customHeight="1" x14ac:dyDescent="0.25">
      <c r="A4" s="11" t="s">
        <v>60</v>
      </c>
      <c r="B4" s="10">
        <f ca="1">BUSCADOR!C1</f>
        <v>45040.510804398145</v>
      </c>
      <c r="E4" s="34"/>
      <c r="F4" s="34"/>
    </row>
    <row r="5" spans="1:6" ht="18.75" x14ac:dyDescent="0.3">
      <c r="A5" s="55" t="s">
        <v>35</v>
      </c>
      <c r="B5" s="56"/>
      <c r="C5" s="55" t="s">
        <v>36</v>
      </c>
      <c r="D5" s="56"/>
      <c r="E5" s="55" t="s">
        <v>37</v>
      </c>
      <c r="F5" s="56"/>
    </row>
    <row r="6" spans="1:6" x14ac:dyDescent="0.25">
      <c r="A6" s="35" t="str">
        <f>BUSCADOR!C6</f>
        <v>CARMEN RAMIREZ COLIN</v>
      </c>
      <c r="B6" s="36"/>
      <c r="C6" s="35" t="str">
        <f>BUSCADOR!C7</f>
        <v xml:space="preserve">Luis alberto jimenez </v>
      </c>
      <c r="D6" s="36"/>
      <c r="E6" s="39" t="str">
        <f>BUSCADOR!C11</f>
        <v>XIAOMI REDMI 9C 3GB + 64gb</v>
      </c>
      <c r="F6" s="40"/>
    </row>
    <row r="7" spans="1:6" ht="21.75" customHeight="1" x14ac:dyDescent="0.25">
      <c r="A7" s="37"/>
      <c r="B7" s="38"/>
      <c r="C7" s="37"/>
      <c r="D7" s="38"/>
      <c r="E7" s="41"/>
      <c r="F7" s="42"/>
    </row>
    <row r="8" spans="1:6" ht="15" customHeight="1" x14ac:dyDescent="0.25">
      <c r="A8" s="54" t="s">
        <v>38</v>
      </c>
      <c r="B8" s="54"/>
      <c r="C8" s="54"/>
      <c r="D8" s="54"/>
      <c r="E8" s="54"/>
      <c r="F8" s="54"/>
    </row>
    <row r="9" spans="1:6" x14ac:dyDescent="0.25">
      <c r="A9" s="54"/>
      <c r="B9" s="54"/>
      <c r="C9" s="54"/>
      <c r="D9" s="54"/>
      <c r="E9" s="54"/>
      <c r="F9" s="54"/>
    </row>
    <row r="10" spans="1:6" x14ac:dyDescent="0.25">
      <c r="A10" s="54"/>
      <c r="B10" s="54"/>
      <c r="C10" s="54"/>
      <c r="D10" s="54"/>
      <c r="E10" s="54"/>
      <c r="F10" s="54"/>
    </row>
    <row r="11" spans="1:6" x14ac:dyDescent="0.25">
      <c r="A11" s="54"/>
      <c r="B11" s="54"/>
      <c r="C11" s="54"/>
      <c r="D11" s="54"/>
      <c r="E11" s="54"/>
      <c r="F11" s="54"/>
    </row>
    <row r="12" spans="1:6" x14ac:dyDescent="0.25">
      <c r="A12" s="54"/>
      <c r="B12" s="54"/>
      <c r="C12" s="54"/>
      <c r="D12" s="54"/>
      <c r="E12" s="54"/>
      <c r="F12" s="54"/>
    </row>
    <row r="13" spans="1:6" ht="125.25" customHeight="1" x14ac:dyDescent="0.25">
      <c r="A13" s="54"/>
      <c r="B13" s="54"/>
      <c r="C13" s="54"/>
      <c r="D13" s="54"/>
      <c r="E13" s="54"/>
      <c r="F13" s="54"/>
    </row>
    <row r="14" spans="1:6" ht="15.75" x14ac:dyDescent="0.25">
      <c r="A14" s="9" t="s">
        <v>39</v>
      </c>
    </row>
    <row r="15" spans="1:6" x14ac:dyDescent="0.25">
      <c r="A15" s="52" t="s">
        <v>45</v>
      </c>
      <c r="B15" s="53"/>
      <c r="C15" s="48" t="s">
        <v>47</v>
      </c>
      <c r="D15" s="49"/>
      <c r="E15" s="50">
        <f>BUSCADOR!C17</f>
        <v>3124.1379310344828</v>
      </c>
      <c r="F15" s="51"/>
    </row>
    <row r="16" spans="1:6" x14ac:dyDescent="0.25">
      <c r="A16" s="52" t="s">
        <v>40</v>
      </c>
      <c r="B16" s="53"/>
      <c r="C16" s="48" t="s">
        <v>48</v>
      </c>
      <c r="D16" s="49"/>
      <c r="E16" s="50">
        <f>BUSCADOR!C18</f>
        <v>499.86206896551721</v>
      </c>
      <c r="F16" s="51"/>
    </row>
    <row r="17" spans="1:6" x14ac:dyDescent="0.25">
      <c r="A17" s="52" t="s">
        <v>46</v>
      </c>
      <c r="B17" s="53"/>
      <c r="C17" s="48" t="s">
        <v>49</v>
      </c>
      <c r="D17" s="49"/>
      <c r="E17" s="50">
        <f>BUSCADOR!C16</f>
        <v>3624</v>
      </c>
      <c r="F17" s="51"/>
    </row>
    <row r="18" spans="1:6" x14ac:dyDescent="0.25">
      <c r="A18" s="52" t="s">
        <v>41</v>
      </c>
      <c r="B18" s="53"/>
      <c r="C18" s="48" t="s">
        <v>50</v>
      </c>
      <c r="D18" s="49"/>
      <c r="E18" s="50">
        <f>BUSCADOR!C13</f>
        <v>724</v>
      </c>
      <c r="F18" s="51"/>
    </row>
    <row r="19" spans="1:6" x14ac:dyDescent="0.25">
      <c r="A19" s="52" t="s">
        <v>42</v>
      </c>
      <c r="B19" s="53"/>
      <c r="C19" s="48" t="s">
        <v>51</v>
      </c>
      <c r="D19" s="49"/>
      <c r="E19" s="50">
        <f>BUSCADOR!C15</f>
        <v>10</v>
      </c>
      <c r="F19" s="51"/>
    </row>
    <row r="20" spans="1:6" x14ac:dyDescent="0.25">
      <c r="A20" s="52" t="s">
        <v>43</v>
      </c>
      <c r="B20" s="53"/>
      <c r="C20" s="48" t="s">
        <v>44</v>
      </c>
      <c r="D20" s="49"/>
      <c r="E20" s="50">
        <f>BUSCADOR!C14</f>
        <v>290</v>
      </c>
      <c r="F20" s="51"/>
    </row>
    <row r="21" spans="1:6" x14ac:dyDescent="0.25">
      <c r="A21" s="52" t="s">
        <v>99</v>
      </c>
      <c r="B21" s="53"/>
      <c r="C21" s="48" t="s">
        <v>100</v>
      </c>
      <c r="D21" s="49"/>
      <c r="E21" s="57">
        <f ca="1">B4+70</f>
        <v>45110.510804398145</v>
      </c>
      <c r="F21" s="51"/>
    </row>
    <row r="22" spans="1:6" x14ac:dyDescent="0.25">
      <c r="A22" s="52" t="s">
        <v>63</v>
      </c>
      <c r="B22" s="53"/>
      <c r="C22" s="48" t="s">
        <v>64</v>
      </c>
      <c r="D22" s="49"/>
      <c r="E22" s="46">
        <f>BUSCADOR!C8</f>
        <v>350000000786543</v>
      </c>
      <c r="F22" s="47"/>
    </row>
    <row r="24" spans="1:6" ht="11.25" customHeight="1" x14ac:dyDescent="0.25">
      <c r="A24" s="7" t="s">
        <v>52</v>
      </c>
    </row>
    <row r="25" spans="1:6" ht="19.5" customHeight="1" x14ac:dyDescent="0.25">
      <c r="A25" s="43" t="s">
        <v>53</v>
      </c>
      <c r="B25" s="43"/>
      <c r="C25" s="44" t="s">
        <v>54</v>
      </c>
      <c r="D25" s="45"/>
      <c r="E25" s="45"/>
      <c r="F25" s="45"/>
    </row>
    <row r="26" spans="1:6" x14ac:dyDescent="0.25">
      <c r="A26" s="43"/>
      <c r="B26" s="43"/>
      <c r="C26" s="45"/>
      <c r="D26" s="45"/>
      <c r="E26" s="45"/>
      <c r="F26" s="45"/>
    </row>
    <row r="27" spans="1:6" x14ac:dyDescent="0.25">
      <c r="A27" s="43"/>
      <c r="B27" s="43"/>
      <c r="C27" s="45"/>
      <c r="D27" s="45"/>
      <c r="E27" s="45"/>
      <c r="F27" s="45"/>
    </row>
    <row r="28" spans="1:6" x14ac:dyDescent="0.25">
      <c r="A28" s="43"/>
      <c r="B28" s="43"/>
      <c r="C28" s="45"/>
      <c r="D28" s="45"/>
      <c r="E28" s="45"/>
      <c r="F28" s="45"/>
    </row>
    <row r="29" spans="1:6" ht="24.75" customHeight="1" x14ac:dyDescent="0.25">
      <c r="A29" s="43"/>
      <c r="B29" s="43"/>
      <c r="C29" s="45"/>
      <c r="D29" s="45"/>
      <c r="E29" s="45"/>
      <c r="F29" s="45"/>
    </row>
    <row r="30" spans="1:6" x14ac:dyDescent="0.25">
      <c r="A30" s="32" t="s">
        <v>55</v>
      </c>
      <c r="B30" s="32"/>
      <c r="C30" s="32" t="s">
        <v>56</v>
      </c>
      <c r="D30" s="32"/>
      <c r="E30" s="32"/>
      <c r="F30" s="32"/>
    </row>
    <row r="31" spans="1:6" x14ac:dyDescent="0.25">
      <c r="A31" s="32"/>
      <c r="B31" s="32"/>
      <c r="C31" s="32"/>
      <c r="D31" s="32"/>
      <c r="E31" s="32"/>
      <c r="F31" s="32"/>
    </row>
    <row r="32" spans="1:6" x14ac:dyDescent="0.25">
      <c r="A32" s="32"/>
      <c r="B32" s="32"/>
      <c r="C32" s="32"/>
      <c r="D32" s="32"/>
      <c r="E32" s="32"/>
      <c r="F32" s="32"/>
    </row>
    <row r="33" spans="1:6" x14ac:dyDescent="0.25">
      <c r="A33" s="32"/>
      <c r="B33" s="32"/>
      <c r="C33" s="32"/>
      <c r="D33" s="32"/>
      <c r="E33" s="32"/>
      <c r="F33" s="32"/>
    </row>
    <row r="34" spans="1:6" x14ac:dyDescent="0.25">
      <c r="A34" s="32"/>
      <c r="B34" s="32"/>
      <c r="C34" s="32"/>
      <c r="D34" s="32"/>
      <c r="E34" s="32"/>
      <c r="F34" s="32"/>
    </row>
  </sheetData>
  <mergeCells count="36">
    <mergeCell ref="A8:F13"/>
    <mergeCell ref="A5:B5"/>
    <mergeCell ref="C5:D5"/>
    <mergeCell ref="E5:F5"/>
    <mergeCell ref="E21:F21"/>
    <mergeCell ref="A21:B21"/>
    <mergeCell ref="A22:B22"/>
    <mergeCell ref="C15:D15"/>
    <mergeCell ref="C16:D16"/>
    <mergeCell ref="C17:D17"/>
    <mergeCell ref="C18:D18"/>
    <mergeCell ref="C19:D19"/>
    <mergeCell ref="C20:D20"/>
    <mergeCell ref="C21:D21"/>
    <mergeCell ref="A15:B15"/>
    <mergeCell ref="A16:B16"/>
    <mergeCell ref="A17:B17"/>
    <mergeCell ref="A18:B18"/>
    <mergeCell ref="A19:B19"/>
    <mergeCell ref="A20:B20"/>
    <mergeCell ref="A30:B34"/>
    <mergeCell ref="C30:F34"/>
    <mergeCell ref="E1:F4"/>
    <mergeCell ref="A6:B7"/>
    <mergeCell ref="C6:D7"/>
    <mergeCell ref="E6:F7"/>
    <mergeCell ref="A25:B29"/>
    <mergeCell ref="C25:F29"/>
    <mergeCell ref="E22:F22"/>
    <mergeCell ref="C22:D22"/>
    <mergeCell ref="E15:F15"/>
    <mergeCell ref="E16:F16"/>
    <mergeCell ref="E17:F17"/>
    <mergeCell ref="E18:F18"/>
    <mergeCell ref="E19:F19"/>
    <mergeCell ref="E20:F20"/>
  </mergeCells>
  <pageMargins left="0.25" right="0.25"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F2960-C376-4525-A545-51D3F83E85FB}">
  <sheetPr codeName="Hoja2"/>
  <dimension ref="A1:C18"/>
  <sheetViews>
    <sheetView tabSelected="1" workbookViewId="0">
      <selection activeCell="D15" sqref="D15"/>
    </sheetView>
  </sheetViews>
  <sheetFormatPr baseColWidth="10" defaultRowHeight="15" x14ac:dyDescent="0.25"/>
  <cols>
    <col min="1" max="1" width="17.140625" style="15" customWidth="1"/>
    <col min="2" max="2" width="32.42578125" style="15" customWidth="1"/>
    <col min="3" max="3" width="31.42578125" style="15" customWidth="1"/>
    <col min="4" max="16384" width="11.42578125" style="15"/>
  </cols>
  <sheetData>
    <row r="1" spans="1:3" ht="19.5" x14ac:dyDescent="0.25">
      <c r="B1" s="26">
        <f ca="1">NOW()</f>
        <v>45040.510804398145</v>
      </c>
      <c r="C1" s="25">
        <f ca="1">NOW()</f>
        <v>45040.510804398145</v>
      </c>
    </row>
    <row r="2" spans="1:3" ht="5.25" customHeight="1" x14ac:dyDescent="0.25"/>
    <row r="3" spans="1:3" ht="6.75" customHeight="1" x14ac:dyDescent="0.25"/>
    <row r="4" spans="1:3" ht="8.25" customHeight="1" x14ac:dyDescent="0.25"/>
    <row r="5" spans="1:3" ht="7.5" customHeight="1" x14ac:dyDescent="0.25"/>
    <row r="6" spans="1:3" ht="19.5" x14ac:dyDescent="0.25">
      <c r="A6" s="27" t="s">
        <v>78</v>
      </c>
      <c r="B6" s="16" t="s">
        <v>61</v>
      </c>
      <c r="C6" s="16" t="s">
        <v>81</v>
      </c>
    </row>
    <row r="7" spans="1:3" ht="25.5" x14ac:dyDescent="0.4">
      <c r="A7" s="28">
        <v>100</v>
      </c>
      <c r="B7" s="17" t="s">
        <v>62</v>
      </c>
      <c r="C7" s="18" t="s">
        <v>112</v>
      </c>
    </row>
    <row r="8" spans="1:3" ht="25.5" x14ac:dyDescent="0.4">
      <c r="B8" s="17" t="s">
        <v>65</v>
      </c>
      <c r="C8" s="19">
        <v>350000000786543</v>
      </c>
    </row>
    <row r="10" spans="1:3" ht="25.5" x14ac:dyDescent="0.4">
      <c r="B10" s="17" t="s">
        <v>66</v>
      </c>
      <c r="C10" s="24" t="s">
        <v>93</v>
      </c>
    </row>
    <row r="11" spans="1:3" ht="19.5" x14ac:dyDescent="0.25">
      <c r="B11" s="16" t="s">
        <v>70</v>
      </c>
      <c r="C11" s="22" t="str">
        <f>IFERROR(VLOOKUP($C$10,PRODUCTO[],2,FALSE),"NO EXISTE")</f>
        <v>XIAOMI REDMI 9C 3GB + 64gb</v>
      </c>
    </row>
    <row r="12" spans="1:3" ht="19.5" x14ac:dyDescent="0.25">
      <c r="B12" s="16" t="s">
        <v>71</v>
      </c>
      <c r="C12" s="30">
        <f>IFERROR(VLOOKUP($C$10,PRODUCTO[],3,FALSE),"NO EXISTE")</f>
        <v>3193.5</v>
      </c>
    </row>
    <row r="13" spans="1:3" ht="19.5" x14ac:dyDescent="0.25">
      <c r="B13" s="16" t="s">
        <v>77</v>
      </c>
      <c r="C13" s="23">
        <f>IFERROR(VLOOKUP($C$10,PRODUCTO[],4,FALSE),"NO EXISTE")</f>
        <v>724</v>
      </c>
    </row>
    <row r="14" spans="1:3" ht="19.5" x14ac:dyDescent="0.25">
      <c r="B14" s="16" t="s">
        <v>72</v>
      </c>
      <c r="C14" s="23">
        <f>IFERROR(VLOOKUP($C$10,PRODUCTO[],5,FALSE),"NO EXISTE")</f>
        <v>290</v>
      </c>
    </row>
    <row r="15" spans="1:3" ht="19.5" x14ac:dyDescent="0.25">
      <c r="B15" s="16" t="s">
        <v>73</v>
      </c>
      <c r="C15" s="31">
        <f>IFERROR(VLOOKUP($C$10,PRODUCTO[],6,FALSE),"NO EXISTE")</f>
        <v>10</v>
      </c>
    </row>
    <row r="16" spans="1:3" ht="19.5" x14ac:dyDescent="0.25">
      <c r="B16" s="16" t="s">
        <v>74</v>
      </c>
      <c r="C16" s="23">
        <f>IFERROR(VLOOKUP($C$10,PRODUCTO[],7,FALSE),"NO EXISTE")</f>
        <v>3624</v>
      </c>
    </row>
    <row r="17" spans="2:3" ht="19.5" x14ac:dyDescent="0.25">
      <c r="B17" s="20" t="s">
        <v>75</v>
      </c>
      <c r="C17" s="21">
        <f>IFERROR(VLOOKUP($C$10,PRODUCTO[],8,FALSE),"NO EXISTE")</f>
        <v>3124.1379310344828</v>
      </c>
    </row>
    <row r="18" spans="2:3" ht="19.5" x14ac:dyDescent="0.25">
      <c r="B18" s="20" t="s">
        <v>76</v>
      </c>
      <c r="C18" s="21">
        <f>IFERROR(VLOOKUP($C$10,PRODUCTO[],9,FALSE),"NO EXISTE")</f>
        <v>499.86206896551721</v>
      </c>
    </row>
  </sheetData>
  <sheetProtection algorithmName="SHA-512" hashValue="DJPPVDpV7QDXJse84e2KYIEHOKIg+MQO4KDIaOWTCLDVeKm4b+9Yvbme9fflpl8TDLOHiIPJ4nNW4pe7IK4JlA==" saltValue="Jro1tnVadR8Z+UWlnYaqug==" spinCount="100000"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INVENTARIO PROCU</vt:lpstr>
      <vt:lpstr>INVENTARIO R1</vt:lpstr>
      <vt:lpstr>BASE DE DATOS</vt:lpstr>
      <vt:lpstr>CONTRATO</vt:lpstr>
      <vt:lpstr>BUSCADOR</vt:lpstr>
      <vt:lpstr>CONTRATO!Área_de_impresión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bunker</dc:creator>
  <cp:lastModifiedBy>bunker</cp:lastModifiedBy>
  <cp:lastPrinted>2023-04-21T17:21:48Z</cp:lastPrinted>
  <dcterms:created xsi:type="dcterms:W3CDTF">2023-03-09T17:55:34Z</dcterms:created>
  <dcterms:modified xsi:type="dcterms:W3CDTF">2023-04-24T18:16:03Z</dcterms:modified>
</cp:coreProperties>
</file>